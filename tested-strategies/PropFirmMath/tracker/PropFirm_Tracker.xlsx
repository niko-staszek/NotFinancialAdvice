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counts" sheetId="2" state="visible" r:id="rId2"/>
    <sheet name="Trades" sheetId="3" state="visible" r:id="rId3"/>
    <sheet name="Pay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&quot;x&quot;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b val="1"/>
      <color rgb="00305496"/>
      <sz val="11"/>
    </font>
    <font/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Prop-Firm Tracker — Dashboard</t>
        </is>
      </c>
    </row>
    <row r="3">
      <c r="A3" s="2" t="inlineStr">
        <is>
          <t>EVALS</t>
        </is>
      </c>
      <c r="B3" t="inlineStr"/>
    </row>
    <row r="4">
      <c r="A4" s="3" t="inlineStr">
        <is>
          <t>Evals bought</t>
        </is>
      </c>
      <c r="B4">
        <f>COUNTA(Accounts!A2:A100000)</f>
        <v/>
      </c>
    </row>
    <row r="5">
      <c r="A5" s="3" t="inlineStr">
        <is>
          <t>Passed</t>
        </is>
      </c>
      <c r="B5">
        <f>COUNTIF(Accounts!D:D,"Passed")</f>
        <v/>
      </c>
    </row>
    <row r="6">
      <c r="A6" s="3" t="inlineStr">
        <is>
          <t>Failed</t>
        </is>
      </c>
      <c r="B6">
        <f>COUNTIF(Accounts!D:D,"Failed")</f>
        <v/>
      </c>
    </row>
    <row r="7">
      <c r="A7" s="3" t="inlineStr">
        <is>
          <t>Pass rate</t>
        </is>
      </c>
      <c r="B7" s="4">
        <f>IFERROR(COUNTIF(Accounts!D:D,"Passed")/(COUNTIF(Accounts!D:D,"Passed")+COUNTIF(Accounts!D:D,"Failed")),0)</f>
        <v/>
      </c>
    </row>
    <row r="8">
      <c r="A8" s="3" t="inlineStr">
        <is>
          <t>Total eval spend</t>
        </is>
      </c>
      <c r="B8" s="5">
        <f>SUM(Accounts!C:C)</f>
        <v/>
      </c>
    </row>
    <row r="10">
      <c r="A10" s="2" t="inlineStr">
        <is>
          <t>PAYOUTS</t>
        </is>
      </c>
      <c r="B10" t="inlineStr"/>
    </row>
    <row r="11">
      <c r="A11" s="3" t="inlineStr">
        <is>
          <t>Total payouts</t>
        </is>
      </c>
      <c r="B11" s="5">
        <f>SUM(Payouts!C:C)</f>
        <v/>
      </c>
    </row>
    <row r="12">
      <c r="A12" s="3" t="inlineStr">
        <is>
          <t>Number of payouts</t>
        </is>
      </c>
      <c r="B12">
        <f>COUNT(Payouts!C:C)</f>
        <v/>
      </c>
    </row>
    <row r="13">
      <c r="A13" s="3" t="inlineStr">
        <is>
          <t>Average payout</t>
        </is>
      </c>
      <c r="B13" s="5">
        <f>IFERROR(AVERAGE(Payouts!C:C),0)</f>
        <v/>
      </c>
    </row>
    <row r="14">
      <c r="A14" s="3" t="inlineStr">
        <is>
          <t>NET (payouts - spend)</t>
        </is>
      </c>
      <c r="B14" s="5">
        <f>SUM(Payouts!C:C)-SUM(Accounts!C:C)</f>
        <v/>
      </c>
    </row>
    <row r="15">
      <c r="A15" s="3" t="inlineStr">
        <is>
          <t>Return multiple</t>
        </is>
      </c>
      <c r="B15" s="6">
        <f>IFERROR(SUM(Payouts!C:C)/SUM(Accounts!C:C),0)</f>
        <v/>
      </c>
    </row>
    <row r="17">
      <c r="A17" s="2" t="inlineStr">
        <is>
          <t>TRADES</t>
        </is>
      </c>
      <c r="B17" t="inlineStr"/>
    </row>
    <row r="18">
      <c r="A18" s="3" t="inlineStr">
        <is>
          <t>Trades logged</t>
        </is>
      </c>
      <c r="B18">
        <f>COUNTIF(Trades!I:I,"TP")+COUNTIF(Trades!I:I,"SL")+COUNTIF(Trades!I:I,"BE")</f>
        <v/>
      </c>
    </row>
    <row r="19">
      <c r="A19" s="3" t="inlineStr">
        <is>
          <t>Wins (TP)</t>
        </is>
      </c>
      <c r="B19">
        <f>COUNTIF(Trades!I:I,"TP")</f>
        <v/>
      </c>
    </row>
    <row r="20">
      <c r="A20" s="3" t="inlineStr">
        <is>
          <t>Losses (SL)</t>
        </is>
      </c>
      <c r="B20">
        <f>COUNTIF(Trades!I:I,"SL")</f>
        <v/>
      </c>
    </row>
    <row r="21">
      <c r="A21" s="3" t="inlineStr">
        <is>
          <t>Win rate</t>
        </is>
      </c>
      <c r="B21" s="4">
        <f>IFERROR(COUNTIF(Trades!I:I,"TP")/(COUNTIF(Trades!I:I,"TP")+COUNTIF(Trades!I:I,"SL")),0)</f>
        <v/>
      </c>
    </row>
    <row r="22">
      <c r="A22" s="3" t="inlineStr">
        <is>
          <t>Total R</t>
        </is>
      </c>
      <c r="B22" s="7">
        <f>SUM(Trades!J:J)</f>
        <v/>
      </c>
    </row>
    <row r="23">
      <c r="A23" s="3" t="inlineStr">
        <is>
          <t>Avg R / trade</t>
        </is>
      </c>
      <c r="B23" s="8">
        <f>IFERROR(AVERAGE(Trades!J:J),0)</f>
        <v/>
      </c>
    </row>
    <row r="25">
      <c r="A25" s="9" t="inlineStr">
        <is>
          <t>Note: win rate / R here are a VISUAL tally of what you log — not a validated backtest. Costs &amp; slippage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14" customWidth="1" min="5" max="5"/>
    <col width="36" customWidth="1" min="6" max="6"/>
  </cols>
  <sheetData>
    <row r="1">
      <c r="A1" s="10" t="inlineStr">
        <is>
          <t>Firm</t>
        </is>
      </c>
      <c r="B1" s="10" t="inlineStr">
        <is>
          <t>Account size</t>
        </is>
      </c>
      <c r="C1" s="10" t="inlineStr">
        <is>
          <t>Eval cost ($)</t>
        </is>
      </c>
      <c r="D1" s="10" t="inlineStr">
        <is>
          <t>Result</t>
        </is>
      </c>
      <c r="E1" s="10" t="inlineStr">
        <is>
          <t>Date bought</t>
        </is>
      </c>
      <c r="F1" s="10" t="inlineStr">
        <is>
          <t>Notes</t>
        </is>
      </c>
    </row>
    <row r="2">
      <c r="A2" s="11" t="inlineStr">
        <is>
          <t>Topstep</t>
        </is>
      </c>
      <c r="B2" s="11" t="inlineStr">
        <is>
          <t>50k</t>
        </is>
      </c>
      <c r="C2" s="12" t="n">
        <v>49</v>
      </c>
      <c r="D2" s="11" t="inlineStr">
        <is>
          <t>Passed</t>
        </is>
      </c>
      <c r="E2" s="11" t="inlineStr">
        <is>
          <t>2026-06-01</t>
        </is>
      </c>
      <c r="F2" s="11" t="inlineStr">
        <is>
          <t>activation $149 on pass</t>
        </is>
      </c>
    </row>
    <row r="3">
      <c r="A3" s="11" t="inlineStr">
        <is>
          <t>Lucid</t>
        </is>
      </c>
      <c r="B3" s="11" t="inlineStr">
        <is>
          <t>50k</t>
        </is>
      </c>
      <c r="C3" s="12" t="n">
        <v>100</v>
      </c>
      <c r="D3" s="11" t="inlineStr">
        <is>
          <t>Failed</t>
        </is>
      </c>
      <c r="E3" s="11" t="inlineStr">
        <is>
          <t>2026-06-02</t>
        </is>
      </c>
      <c r="F3" s="11" t="inlineStr"/>
    </row>
    <row r="4">
      <c r="A4" s="11" t="inlineStr">
        <is>
          <t>TradiFy</t>
        </is>
      </c>
      <c r="B4" s="11" t="inlineStr">
        <is>
          <t>50k</t>
        </is>
      </c>
      <c r="C4" s="12" t="n">
        <v>100</v>
      </c>
      <c r="D4" s="11" t="inlineStr">
        <is>
          <t>Pending</t>
        </is>
      </c>
      <c r="E4" s="11" t="inlineStr">
        <is>
          <t>2026-06-03</t>
        </is>
      </c>
      <c r="F4" s="11" t="inlineStr"/>
    </row>
    <row r="5">
      <c r="C5" s="5" t="n"/>
    </row>
    <row r="6">
      <c r="C6" s="5" t="n"/>
    </row>
    <row r="7">
      <c r="C7" s="5" t="n"/>
    </row>
    <row r="8">
      <c r="C8" s="5" t="n"/>
    </row>
    <row r="9">
      <c r="C9" s="5" t="n"/>
    </row>
    <row r="10">
      <c r="C10" s="5" t="n"/>
    </row>
    <row r="11">
      <c r="C11" s="5" t="n"/>
    </row>
    <row r="12">
      <c r="C12" s="5" t="n"/>
    </row>
    <row r="13">
      <c r="C13" s="5" t="n"/>
    </row>
    <row r="14">
      <c r="C14" s="5" t="n"/>
    </row>
    <row r="15">
      <c r="C15" s="5" t="n"/>
    </row>
    <row r="16">
      <c r="C16" s="5" t="n"/>
    </row>
    <row r="17">
      <c r="C17" s="5" t="n"/>
    </row>
    <row r="18">
      <c r="C18" s="5" t="n"/>
    </row>
    <row r="19">
      <c r="C19" s="5" t="n"/>
    </row>
    <row r="20">
      <c r="C20" s="5" t="n"/>
    </row>
    <row r="21">
      <c r="C21" s="5" t="n"/>
    </row>
    <row r="22">
      <c r="C22" s="5" t="n"/>
    </row>
    <row r="23">
      <c r="C23" s="5" t="n"/>
    </row>
    <row r="24">
      <c r="C24" s="5" t="n"/>
    </row>
    <row r="25">
      <c r="C25" s="5" t="n"/>
    </row>
    <row r="26">
      <c r="C26" s="5" t="n"/>
    </row>
    <row r="27">
      <c r="C27" s="5" t="n"/>
    </row>
    <row r="28">
      <c r="C28" s="5" t="n"/>
    </row>
    <row r="29">
      <c r="C29" s="5" t="n"/>
    </row>
    <row r="30">
      <c r="C30" s="5" t="n"/>
    </row>
    <row r="31">
      <c r="C31" s="5" t="n"/>
    </row>
    <row r="32">
      <c r="C32" s="5" t="n"/>
    </row>
    <row r="33">
      <c r="C33" s="5" t="n"/>
    </row>
    <row r="34">
      <c r="C34" s="5" t="n"/>
    </row>
    <row r="35">
      <c r="C35" s="5" t="n"/>
    </row>
    <row r="36">
      <c r="C36" s="5" t="n"/>
    </row>
    <row r="37">
      <c r="C37" s="5" t="n"/>
    </row>
    <row r="38">
      <c r="C38" s="5" t="n"/>
    </row>
    <row r="39">
      <c r="C39" s="5" t="n"/>
    </row>
    <row r="40">
      <c r="C40" s="5" t="n"/>
    </row>
    <row r="41">
      <c r="C41" s="5" t="n"/>
    </row>
    <row r="42">
      <c r="C42" s="5" t="n"/>
    </row>
    <row r="43">
      <c r="C43" s="5" t="n"/>
    </row>
    <row r="44">
      <c r="C44" s="5" t="n"/>
    </row>
    <row r="45">
      <c r="C45" s="5" t="n"/>
    </row>
    <row r="46">
      <c r="C46" s="5" t="n"/>
    </row>
    <row r="47">
      <c r="C47" s="5" t="n"/>
    </row>
    <row r="48">
      <c r="C48" s="5" t="n"/>
    </row>
    <row r="49">
      <c r="C49" s="5" t="n"/>
    </row>
    <row r="50">
      <c r="C50" s="5" t="n"/>
    </row>
    <row r="51">
      <c r="C51" s="5" t="n"/>
    </row>
    <row r="52">
      <c r="C52" s="5" t="n"/>
    </row>
    <row r="53">
      <c r="C53" s="5" t="n"/>
    </row>
    <row r="54">
      <c r="C54" s="5" t="n"/>
    </row>
    <row r="55">
      <c r="C55" s="5" t="n"/>
    </row>
    <row r="56">
      <c r="C56" s="5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  <row r="302">
      <c r="C302" s="5" t="n"/>
    </row>
    <row r="303">
      <c r="C303" s="5" t="n"/>
    </row>
    <row r="304">
      <c r="C304" s="5" t="n"/>
    </row>
    <row r="305">
      <c r="C305" s="5" t="n"/>
    </row>
    <row r="306">
      <c r="C306" s="5" t="n"/>
    </row>
    <row r="307">
      <c r="C307" s="5" t="n"/>
    </row>
    <row r="308">
      <c r="C308" s="5" t="n"/>
    </row>
    <row r="309">
      <c r="C309" s="5" t="n"/>
    </row>
    <row r="310">
      <c r="C310" s="5" t="n"/>
    </row>
    <row r="311">
      <c r="C311" s="5" t="n"/>
    </row>
    <row r="312">
      <c r="C312" s="5" t="n"/>
    </row>
    <row r="313">
      <c r="C313" s="5" t="n"/>
    </row>
    <row r="314">
      <c r="C314" s="5" t="n"/>
    </row>
    <row r="315">
      <c r="C315" s="5" t="n"/>
    </row>
    <row r="316">
      <c r="C316" s="5" t="n"/>
    </row>
    <row r="317">
      <c r="C317" s="5" t="n"/>
    </row>
    <row r="318">
      <c r="C318" s="5" t="n"/>
    </row>
    <row r="319">
      <c r="C319" s="5" t="n"/>
    </row>
    <row r="320">
      <c r="C320" s="5" t="n"/>
    </row>
    <row r="321">
      <c r="C321" s="5" t="n"/>
    </row>
    <row r="322">
      <c r="C322" s="5" t="n"/>
    </row>
    <row r="323">
      <c r="C323" s="5" t="n"/>
    </row>
    <row r="324">
      <c r="C324" s="5" t="n"/>
    </row>
    <row r="325">
      <c r="C325" s="5" t="n"/>
    </row>
    <row r="326">
      <c r="C326" s="5" t="n"/>
    </row>
    <row r="327">
      <c r="C327" s="5" t="n"/>
    </row>
    <row r="328">
      <c r="C328" s="5" t="n"/>
    </row>
    <row r="329">
      <c r="C329" s="5" t="n"/>
    </row>
    <row r="330">
      <c r="C330" s="5" t="n"/>
    </row>
    <row r="331">
      <c r="C331" s="5" t="n"/>
    </row>
    <row r="332">
      <c r="C332" s="5" t="n"/>
    </row>
    <row r="333">
      <c r="C333" s="5" t="n"/>
    </row>
    <row r="334">
      <c r="C334" s="5" t="n"/>
    </row>
    <row r="335">
      <c r="C335" s="5" t="n"/>
    </row>
    <row r="336">
      <c r="C336" s="5" t="n"/>
    </row>
    <row r="337">
      <c r="C337" s="5" t="n"/>
    </row>
    <row r="338">
      <c r="C338" s="5" t="n"/>
    </row>
    <row r="339">
      <c r="C339" s="5" t="n"/>
    </row>
    <row r="340">
      <c r="C340" s="5" t="n"/>
    </row>
    <row r="341">
      <c r="C341" s="5" t="n"/>
    </row>
    <row r="342">
      <c r="C342" s="5" t="n"/>
    </row>
    <row r="343">
      <c r="C343" s="5" t="n"/>
    </row>
    <row r="344">
      <c r="C344" s="5" t="n"/>
    </row>
    <row r="345">
      <c r="C345" s="5" t="n"/>
    </row>
    <row r="346">
      <c r="C346" s="5" t="n"/>
    </row>
    <row r="347">
      <c r="C347" s="5" t="n"/>
    </row>
    <row r="348">
      <c r="C348" s="5" t="n"/>
    </row>
    <row r="349">
      <c r="C349" s="5" t="n"/>
    </row>
    <row r="350">
      <c r="C350" s="5" t="n"/>
    </row>
    <row r="351">
      <c r="C351" s="5" t="n"/>
    </row>
    <row r="352">
      <c r="C352" s="5" t="n"/>
    </row>
    <row r="353">
      <c r="C353" s="5" t="n"/>
    </row>
    <row r="354">
      <c r="C354" s="5" t="n"/>
    </row>
    <row r="355">
      <c r="C355" s="5" t="n"/>
    </row>
    <row r="356">
      <c r="C356" s="5" t="n"/>
    </row>
    <row r="357">
      <c r="C357" s="5" t="n"/>
    </row>
    <row r="358">
      <c r="C358" s="5" t="n"/>
    </row>
    <row r="359">
      <c r="C359" s="5" t="n"/>
    </row>
    <row r="360">
      <c r="C360" s="5" t="n"/>
    </row>
    <row r="361">
      <c r="C361" s="5" t="n"/>
    </row>
    <row r="362">
      <c r="C362" s="5" t="n"/>
    </row>
    <row r="363">
      <c r="C363" s="5" t="n"/>
    </row>
    <row r="364">
      <c r="C364" s="5" t="n"/>
    </row>
    <row r="365">
      <c r="C365" s="5" t="n"/>
    </row>
    <row r="366">
      <c r="C366" s="5" t="n"/>
    </row>
    <row r="367">
      <c r="C367" s="5" t="n"/>
    </row>
    <row r="368">
      <c r="C368" s="5" t="n"/>
    </row>
    <row r="369">
      <c r="C369" s="5" t="n"/>
    </row>
    <row r="370">
      <c r="C370" s="5" t="n"/>
    </row>
    <row r="371">
      <c r="C371" s="5" t="n"/>
    </row>
    <row r="372">
      <c r="C372" s="5" t="n"/>
    </row>
    <row r="373">
      <c r="C373" s="5" t="n"/>
    </row>
    <row r="374">
      <c r="C374" s="5" t="n"/>
    </row>
    <row r="375">
      <c r="C375" s="5" t="n"/>
    </row>
    <row r="376">
      <c r="C376" s="5" t="n"/>
    </row>
    <row r="377">
      <c r="C377" s="5" t="n"/>
    </row>
    <row r="378">
      <c r="C378" s="5" t="n"/>
    </row>
    <row r="379">
      <c r="C379" s="5" t="n"/>
    </row>
    <row r="380">
      <c r="C380" s="5" t="n"/>
    </row>
    <row r="381">
      <c r="C381" s="5" t="n"/>
    </row>
    <row r="382">
      <c r="C382" s="5" t="n"/>
    </row>
    <row r="383">
      <c r="C383" s="5" t="n"/>
    </row>
    <row r="384">
      <c r="C384" s="5" t="n"/>
    </row>
    <row r="385">
      <c r="C385" s="5" t="n"/>
    </row>
    <row r="386">
      <c r="C386" s="5" t="n"/>
    </row>
    <row r="387">
      <c r="C387" s="5" t="n"/>
    </row>
    <row r="388">
      <c r="C388" s="5" t="n"/>
    </row>
    <row r="389">
      <c r="C389" s="5" t="n"/>
    </row>
    <row r="390">
      <c r="C390" s="5" t="n"/>
    </row>
    <row r="391">
      <c r="C391" s="5" t="n"/>
    </row>
    <row r="392">
      <c r="C392" s="5" t="n"/>
    </row>
    <row r="393">
      <c r="C393" s="5" t="n"/>
    </row>
    <row r="394">
      <c r="C394" s="5" t="n"/>
    </row>
    <row r="395">
      <c r="C395" s="5" t="n"/>
    </row>
    <row r="396">
      <c r="C396" s="5" t="n"/>
    </row>
    <row r="397">
      <c r="C397" s="5" t="n"/>
    </row>
    <row r="398">
      <c r="C398" s="5" t="n"/>
    </row>
    <row r="399">
      <c r="C399" s="5" t="n"/>
    </row>
  </sheetData>
  <dataValidations count="1">
    <dataValidation sqref="D2:D400" showDropDown="0" showInputMessage="0" showErrorMessage="0" allowBlank="1" type="list">
      <formula1>"Pending,Passed,Failed"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7" customWidth="1" min="4" max="4"/>
    <col width="13" customWidth="1" min="5" max="5"/>
    <col width="10" customWidth="1" min="6" max="6"/>
    <col width="10" customWidth="1" min="7" max="7"/>
    <col width="10" customWidth="1" min="8" max="8"/>
    <col width="9" customWidth="1" min="9" max="9"/>
    <col width="7" customWidth="1" min="10" max="10"/>
    <col width="10" customWidth="1" min="11" max="11"/>
  </cols>
  <sheetData>
    <row r="1">
      <c r="A1" s="10" t="inlineStr">
        <is>
          <t>Date</t>
        </is>
      </c>
      <c r="B1" s="10" t="inlineStr">
        <is>
          <t>Block</t>
        </is>
      </c>
      <c r="C1" s="10" t="inlineStr">
        <is>
          <t>Account</t>
        </is>
      </c>
      <c r="D1" s="10" t="inlineStr">
        <is>
          <t>Dir</t>
        </is>
      </c>
      <c r="E1" s="10" t="inlineStr">
        <is>
          <t>Type</t>
        </is>
      </c>
      <c r="F1" s="10" t="inlineStr">
        <is>
          <t>Entry</t>
        </is>
      </c>
      <c r="G1" s="10" t="inlineStr">
        <is>
          <t>SL</t>
        </is>
      </c>
      <c r="H1" s="10" t="inlineStr">
        <is>
          <t>TP</t>
        </is>
      </c>
      <c r="I1" s="10" t="inlineStr">
        <is>
          <t>Result</t>
        </is>
      </c>
      <c r="J1" s="10" t="inlineStr">
        <is>
          <t>R</t>
        </is>
      </c>
      <c r="K1" s="10" t="inlineStr">
        <is>
          <t>PnL ($)</t>
        </is>
      </c>
    </row>
    <row r="2">
      <c r="A2" s="11" t="inlineStr">
        <is>
          <t>2026-06-01</t>
        </is>
      </c>
      <c r="B2" s="11" t="inlineStr">
        <is>
          <t>NY-AM</t>
        </is>
      </c>
      <c r="C2" s="11" t="inlineStr">
        <is>
          <t>Topstep</t>
        </is>
      </c>
      <c r="D2" s="11" t="inlineStr">
        <is>
          <t>Short</t>
        </is>
      </c>
      <c r="E2" s="11" t="inlineStr">
        <is>
          <t>Continuation</t>
        </is>
      </c>
      <c r="F2" s="11" t="n">
        <v>21850</v>
      </c>
      <c r="G2" s="11" t="n">
        <v>21875</v>
      </c>
      <c r="H2" s="11" t="n">
        <v>21812.5</v>
      </c>
      <c r="I2" s="11" t="inlineStr">
        <is>
          <t>TP</t>
        </is>
      </c>
      <c r="J2">
        <f>IF(I2="","",IF(I2="TP",1.5,IF(I2="SL",-1,0)))</f>
        <v/>
      </c>
      <c r="K2" s="5" t="n"/>
    </row>
    <row r="3">
      <c r="A3" s="11" t="inlineStr">
        <is>
          <t>2026-06-01</t>
        </is>
      </c>
      <c r="B3" s="11" t="inlineStr">
        <is>
          <t>NY-AM</t>
        </is>
      </c>
      <c r="C3" s="11" t="inlineStr">
        <is>
          <t>Topstep</t>
        </is>
      </c>
      <c r="D3" s="11" t="inlineStr">
        <is>
          <t>Long</t>
        </is>
      </c>
      <c r="E3" s="11" t="inlineStr">
        <is>
          <t>Reversion</t>
        </is>
      </c>
      <c r="F3" s="11" t="n">
        <v>21820</v>
      </c>
      <c r="G3" s="11" t="n">
        <v>21795</v>
      </c>
      <c r="H3" s="11" t="n">
        <v>21857.5</v>
      </c>
      <c r="I3" s="11" t="inlineStr">
        <is>
          <t>SL</t>
        </is>
      </c>
      <c r="J3">
        <f>IF(I3="","",IF(I3="TP",1.5,IF(I3="SL",-1,0)))</f>
        <v/>
      </c>
      <c r="K3" s="5" t="n"/>
    </row>
    <row r="4">
      <c r="J4">
        <f>IF(I4="","",IF(I4="TP",1.5,IF(I4="SL",-1,0)))</f>
        <v/>
      </c>
      <c r="K4" s="5" t="n"/>
    </row>
    <row r="5">
      <c r="J5">
        <f>IF(I5="","",IF(I5="TP",1.5,IF(I5="SL",-1,0)))</f>
        <v/>
      </c>
      <c r="K5" s="5" t="n"/>
    </row>
    <row r="6">
      <c r="J6">
        <f>IF(I6="","",IF(I6="TP",1.5,IF(I6="SL",-1,0)))</f>
        <v/>
      </c>
      <c r="K6" s="5" t="n"/>
    </row>
    <row r="7">
      <c r="J7">
        <f>IF(I7="","",IF(I7="TP",1.5,IF(I7="SL",-1,0)))</f>
        <v/>
      </c>
      <c r="K7" s="5" t="n"/>
    </row>
    <row r="8">
      <c r="J8">
        <f>IF(I8="","",IF(I8="TP",1.5,IF(I8="SL",-1,0)))</f>
        <v/>
      </c>
      <c r="K8" s="5" t="n"/>
    </row>
    <row r="9">
      <c r="J9">
        <f>IF(I9="","",IF(I9="TP",1.5,IF(I9="SL",-1,0)))</f>
        <v/>
      </c>
      <c r="K9" s="5" t="n"/>
    </row>
    <row r="10">
      <c r="J10">
        <f>IF(I10="","",IF(I10="TP",1.5,IF(I10="SL",-1,0)))</f>
        <v/>
      </c>
      <c r="K10" s="5" t="n"/>
    </row>
    <row r="11">
      <c r="J11">
        <f>IF(I11="","",IF(I11="TP",1.5,IF(I11="SL",-1,0)))</f>
        <v/>
      </c>
      <c r="K11" s="5" t="n"/>
    </row>
    <row r="12">
      <c r="J12">
        <f>IF(I12="","",IF(I12="TP",1.5,IF(I12="SL",-1,0)))</f>
        <v/>
      </c>
      <c r="K12" s="5" t="n"/>
    </row>
    <row r="13">
      <c r="J13">
        <f>IF(I13="","",IF(I13="TP",1.5,IF(I13="SL",-1,0)))</f>
        <v/>
      </c>
      <c r="K13" s="5" t="n"/>
    </row>
    <row r="14">
      <c r="J14">
        <f>IF(I14="","",IF(I14="TP",1.5,IF(I14="SL",-1,0)))</f>
        <v/>
      </c>
      <c r="K14" s="5" t="n"/>
    </row>
    <row r="15">
      <c r="J15">
        <f>IF(I15="","",IF(I15="TP",1.5,IF(I15="SL",-1,0)))</f>
        <v/>
      </c>
      <c r="K15" s="5" t="n"/>
    </row>
    <row r="16">
      <c r="J16">
        <f>IF(I16="","",IF(I16="TP",1.5,IF(I16="SL",-1,0)))</f>
        <v/>
      </c>
      <c r="K16" s="5" t="n"/>
    </row>
    <row r="17">
      <c r="J17">
        <f>IF(I17="","",IF(I17="TP",1.5,IF(I17="SL",-1,0)))</f>
        <v/>
      </c>
      <c r="K17" s="5" t="n"/>
    </row>
    <row r="18">
      <c r="J18">
        <f>IF(I18="","",IF(I18="TP",1.5,IF(I18="SL",-1,0)))</f>
        <v/>
      </c>
      <c r="K18" s="5" t="n"/>
    </row>
    <row r="19">
      <c r="J19">
        <f>IF(I19="","",IF(I19="TP",1.5,IF(I19="SL",-1,0)))</f>
        <v/>
      </c>
      <c r="K19" s="5" t="n"/>
    </row>
    <row r="20">
      <c r="J20">
        <f>IF(I20="","",IF(I20="TP",1.5,IF(I20="SL",-1,0)))</f>
        <v/>
      </c>
      <c r="K20" s="5" t="n"/>
    </row>
    <row r="21">
      <c r="J21">
        <f>IF(I21="","",IF(I21="TP",1.5,IF(I21="SL",-1,0)))</f>
        <v/>
      </c>
      <c r="K21" s="5" t="n"/>
    </row>
    <row r="22">
      <c r="J22">
        <f>IF(I22="","",IF(I22="TP",1.5,IF(I22="SL",-1,0)))</f>
        <v/>
      </c>
      <c r="K22" s="5" t="n"/>
    </row>
    <row r="23">
      <c r="J23">
        <f>IF(I23="","",IF(I23="TP",1.5,IF(I23="SL",-1,0)))</f>
        <v/>
      </c>
      <c r="K23" s="5" t="n"/>
    </row>
    <row r="24">
      <c r="J24">
        <f>IF(I24="","",IF(I24="TP",1.5,IF(I24="SL",-1,0)))</f>
        <v/>
      </c>
      <c r="K24" s="5" t="n"/>
    </row>
    <row r="25">
      <c r="J25">
        <f>IF(I25="","",IF(I25="TP",1.5,IF(I25="SL",-1,0)))</f>
        <v/>
      </c>
      <c r="K25" s="5" t="n"/>
    </row>
    <row r="26">
      <c r="J26">
        <f>IF(I26="","",IF(I26="TP",1.5,IF(I26="SL",-1,0)))</f>
        <v/>
      </c>
      <c r="K26" s="5" t="n"/>
    </row>
    <row r="27">
      <c r="J27">
        <f>IF(I27="","",IF(I27="TP",1.5,IF(I27="SL",-1,0)))</f>
        <v/>
      </c>
      <c r="K27" s="5" t="n"/>
    </row>
    <row r="28">
      <c r="J28">
        <f>IF(I28="","",IF(I28="TP",1.5,IF(I28="SL",-1,0)))</f>
        <v/>
      </c>
      <c r="K28" s="5" t="n"/>
    </row>
    <row r="29">
      <c r="J29">
        <f>IF(I29="","",IF(I29="TP",1.5,IF(I29="SL",-1,0)))</f>
        <v/>
      </c>
      <c r="K29" s="5" t="n"/>
    </row>
    <row r="30">
      <c r="J30">
        <f>IF(I30="","",IF(I30="TP",1.5,IF(I30="SL",-1,0)))</f>
        <v/>
      </c>
      <c r="K30" s="5" t="n"/>
    </row>
    <row r="31">
      <c r="J31">
        <f>IF(I31="","",IF(I31="TP",1.5,IF(I31="SL",-1,0)))</f>
        <v/>
      </c>
      <c r="K31" s="5" t="n"/>
    </row>
    <row r="32">
      <c r="J32">
        <f>IF(I32="","",IF(I32="TP",1.5,IF(I32="SL",-1,0)))</f>
        <v/>
      </c>
      <c r="K32" s="5" t="n"/>
    </row>
    <row r="33">
      <c r="J33">
        <f>IF(I33="","",IF(I33="TP",1.5,IF(I33="SL",-1,0)))</f>
        <v/>
      </c>
      <c r="K33" s="5" t="n"/>
    </row>
    <row r="34">
      <c r="J34">
        <f>IF(I34="","",IF(I34="TP",1.5,IF(I34="SL",-1,0)))</f>
        <v/>
      </c>
      <c r="K34" s="5" t="n"/>
    </row>
    <row r="35">
      <c r="J35">
        <f>IF(I35="","",IF(I35="TP",1.5,IF(I35="SL",-1,0)))</f>
        <v/>
      </c>
      <c r="K35" s="5" t="n"/>
    </row>
    <row r="36">
      <c r="J36">
        <f>IF(I36="","",IF(I36="TP",1.5,IF(I36="SL",-1,0)))</f>
        <v/>
      </c>
      <c r="K36" s="5" t="n"/>
    </row>
    <row r="37">
      <c r="J37">
        <f>IF(I37="","",IF(I37="TP",1.5,IF(I37="SL",-1,0)))</f>
        <v/>
      </c>
      <c r="K37" s="5" t="n"/>
    </row>
    <row r="38">
      <c r="J38">
        <f>IF(I38="","",IF(I38="TP",1.5,IF(I38="SL",-1,0)))</f>
        <v/>
      </c>
      <c r="K38" s="5" t="n"/>
    </row>
    <row r="39">
      <c r="J39">
        <f>IF(I39="","",IF(I39="TP",1.5,IF(I39="SL",-1,0)))</f>
        <v/>
      </c>
      <c r="K39" s="5" t="n"/>
    </row>
    <row r="40">
      <c r="J40">
        <f>IF(I40="","",IF(I40="TP",1.5,IF(I40="SL",-1,0)))</f>
        <v/>
      </c>
      <c r="K40" s="5" t="n"/>
    </row>
    <row r="41">
      <c r="J41">
        <f>IF(I41="","",IF(I41="TP",1.5,IF(I41="SL",-1,0)))</f>
        <v/>
      </c>
      <c r="K41" s="5" t="n"/>
    </row>
    <row r="42">
      <c r="J42">
        <f>IF(I42="","",IF(I42="TP",1.5,IF(I42="SL",-1,0)))</f>
        <v/>
      </c>
      <c r="K42" s="5" t="n"/>
    </row>
    <row r="43">
      <c r="J43">
        <f>IF(I43="","",IF(I43="TP",1.5,IF(I43="SL",-1,0)))</f>
        <v/>
      </c>
      <c r="K43" s="5" t="n"/>
    </row>
    <row r="44">
      <c r="J44">
        <f>IF(I44="","",IF(I44="TP",1.5,IF(I44="SL",-1,0)))</f>
        <v/>
      </c>
      <c r="K44" s="5" t="n"/>
    </row>
    <row r="45">
      <c r="J45">
        <f>IF(I45="","",IF(I45="TP",1.5,IF(I45="SL",-1,0)))</f>
        <v/>
      </c>
      <c r="K45" s="5" t="n"/>
    </row>
    <row r="46">
      <c r="J46">
        <f>IF(I46="","",IF(I46="TP",1.5,IF(I46="SL",-1,0)))</f>
        <v/>
      </c>
      <c r="K46" s="5" t="n"/>
    </row>
    <row r="47">
      <c r="J47">
        <f>IF(I47="","",IF(I47="TP",1.5,IF(I47="SL",-1,0)))</f>
        <v/>
      </c>
      <c r="K47" s="5" t="n"/>
    </row>
    <row r="48">
      <c r="J48">
        <f>IF(I48="","",IF(I48="TP",1.5,IF(I48="SL",-1,0)))</f>
        <v/>
      </c>
      <c r="K48" s="5" t="n"/>
    </row>
    <row r="49">
      <c r="J49">
        <f>IF(I49="","",IF(I49="TP",1.5,IF(I49="SL",-1,0)))</f>
        <v/>
      </c>
      <c r="K49" s="5" t="n"/>
    </row>
    <row r="50">
      <c r="J50">
        <f>IF(I50="","",IF(I50="TP",1.5,IF(I50="SL",-1,0)))</f>
        <v/>
      </c>
      <c r="K50" s="5" t="n"/>
    </row>
    <row r="51">
      <c r="J51">
        <f>IF(I51="","",IF(I51="TP",1.5,IF(I51="SL",-1,0)))</f>
        <v/>
      </c>
      <c r="K51" s="5" t="n"/>
    </row>
    <row r="52">
      <c r="J52">
        <f>IF(I52="","",IF(I52="TP",1.5,IF(I52="SL",-1,0)))</f>
        <v/>
      </c>
      <c r="K52" s="5" t="n"/>
    </row>
    <row r="53">
      <c r="J53">
        <f>IF(I53="","",IF(I53="TP",1.5,IF(I53="SL",-1,0)))</f>
        <v/>
      </c>
      <c r="K53" s="5" t="n"/>
    </row>
    <row r="54">
      <c r="J54">
        <f>IF(I54="","",IF(I54="TP",1.5,IF(I54="SL",-1,0)))</f>
        <v/>
      </c>
      <c r="K54" s="5" t="n"/>
    </row>
    <row r="55">
      <c r="J55">
        <f>IF(I55="","",IF(I55="TP",1.5,IF(I55="SL",-1,0)))</f>
        <v/>
      </c>
      <c r="K55" s="5" t="n"/>
    </row>
    <row r="56">
      <c r="J56">
        <f>IF(I56="","",IF(I56="TP",1.5,IF(I56="SL",-1,0)))</f>
        <v/>
      </c>
      <c r="K56" s="5" t="n"/>
    </row>
    <row r="57">
      <c r="J57">
        <f>IF(I57="","",IF(I57="TP",1.5,IF(I57="SL",-1,0)))</f>
        <v/>
      </c>
      <c r="K57" s="5" t="n"/>
    </row>
    <row r="58">
      <c r="J58">
        <f>IF(I58="","",IF(I58="TP",1.5,IF(I58="SL",-1,0)))</f>
        <v/>
      </c>
      <c r="K58" s="5" t="n"/>
    </row>
    <row r="59">
      <c r="J59">
        <f>IF(I59="","",IF(I59="TP",1.5,IF(I59="SL",-1,0)))</f>
        <v/>
      </c>
      <c r="K59" s="5" t="n"/>
    </row>
    <row r="60">
      <c r="J60">
        <f>IF(I60="","",IF(I60="TP",1.5,IF(I60="SL",-1,0)))</f>
        <v/>
      </c>
      <c r="K60" s="5" t="n"/>
    </row>
    <row r="61">
      <c r="J61">
        <f>IF(I61="","",IF(I61="TP",1.5,IF(I61="SL",-1,0)))</f>
        <v/>
      </c>
      <c r="K61" s="5" t="n"/>
    </row>
    <row r="62">
      <c r="J62">
        <f>IF(I62="","",IF(I62="TP",1.5,IF(I62="SL",-1,0)))</f>
        <v/>
      </c>
      <c r="K62" s="5" t="n"/>
    </row>
    <row r="63">
      <c r="J63">
        <f>IF(I63="","",IF(I63="TP",1.5,IF(I63="SL",-1,0)))</f>
        <v/>
      </c>
      <c r="K63" s="5" t="n"/>
    </row>
    <row r="64">
      <c r="J64">
        <f>IF(I64="","",IF(I64="TP",1.5,IF(I64="SL",-1,0)))</f>
        <v/>
      </c>
      <c r="K64" s="5" t="n"/>
    </row>
    <row r="65">
      <c r="J65">
        <f>IF(I65="","",IF(I65="TP",1.5,IF(I65="SL",-1,0)))</f>
        <v/>
      </c>
      <c r="K65" s="5" t="n"/>
    </row>
    <row r="66">
      <c r="J66">
        <f>IF(I66="","",IF(I66="TP",1.5,IF(I66="SL",-1,0)))</f>
        <v/>
      </c>
      <c r="K66" s="5" t="n"/>
    </row>
    <row r="67">
      <c r="J67">
        <f>IF(I67="","",IF(I67="TP",1.5,IF(I67="SL",-1,0)))</f>
        <v/>
      </c>
      <c r="K67" s="5" t="n"/>
    </row>
    <row r="68">
      <c r="J68">
        <f>IF(I68="","",IF(I68="TP",1.5,IF(I68="SL",-1,0)))</f>
        <v/>
      </c>
      <c r="K68" s="5" t="n"/>
    </row>
    <row r="69">
      <c r="J69">
        <f>IF(I69="","",IF(I69="TP",1.5,IF(I69="SL",-1,0)))</f>
        <v/>
      </c>
      <c r="K69" s="5" t="n"/>
    </row>
    <row r="70">
      <c r="J70">
        <f>IF(I70="","",IF(I70="TP",1.5,IF(I70="SL",-1,0)))</f>
        <v/>
      </c>
      <c r="K70" s="5" t="n"/>
    </row>
    <row r="71">
      <c r="J71">
        <f>IF(I71="","",IF(I71="TP",1.5,IF(I71="SL",-1,0)))</f>
        <v/>
      </c>
      <c r="K71" s="5" t="n"/>
    </row>
    <row r="72">
      <c r="J72">
        <f>IF(I72="","",IF(I72="TP",1.5,IF(I72="SL",-1,0)))</f>
        <v/>
      </c>
      <c r="K72" s="5" t="n"/>
    </row>
    <row r="73">
      <c r="J73">
        <f>IF(I73="","",IF(I73="TP",1.5,IF(I73="SL",-1,0)))</f>
        <v/>
      </c>
      <c r="K73" s="5" t="n"/>
    </row>
    <row r="74">
      <c r="J74">
        <f>IF(I74="","",IF(I74="TP",1.5,IF(I74="SL",-1,0)))</f>
        <v/>
      </c>
      <c r="K74" s="5" t="n"/>
    </row>
    <row r="75">
      <c r="J75">
        <f>IF(I75="","",IF(I75="TP",1.5,IF(I75="SL",-1,0)))</f>
        <v/>
      </c>
      <c r="K75" s="5" t="n"/>
    </row>
    <row r="76">
      <c r="J76">
        <f>IF(I76="","",IF(I76="TP",1.5,IF(I76="SL",-1,0)))</f>
        <v/>
      </c>
      <c r="K76" s="5" t="n"/>
    </row>
    <row r="77">
      <c r="J77">
        <f>IF(I77="","",IF(I77="TP",1.5,IF(I77="SL",-1,0)))</f>
        <v/>
      </c>
      <c r="K77" s="5" t="n"/>
    </row>
    <row r="78">
      <c r="J78">
        <f>IF(I78="","",IF(I78="TP",1.5,IF(I78="SL",-1,0)))</f>
        <v/>
      </c>
      <c r="K78" s="5" t="n"/>
    </row>
    <row r="79">
      <c r="J79">
        <f>IF(I79="","",IF(I79="TP",1.5,IF(I79="SL",-1,0)))</f>
        <v/>
      </c>
      <c r="K79" s="5" t="n"/>
    </row>
    <row r="80">
      <c r="J80">
        <f>IF(I80="","",IF(I80="TP",1.5,IF(I80="SL",-1,0)))</f>
        <v/>
      </c>
      <c r="K80" s="5" t="n"/>
    </row>
    <row r="81">
      <c r="J81">
        <f>IF(I81="","",IF(I81="TP",1.5,IF(I81="SL",-1,0)))</f>
        <v/>
      </c>
      <c r="K81" s="5" t="n"/>
    </row>
    <row r="82">
      <c r="J82">
        <f>IF(I82="","",IF(I82="TP",1.5,IF(I82="SL",-1,0)))</f>
        <v/>
      </c>
      <c r="K82" s="5" t="n"/>
    </row>
    <row r="83">
      <c r="J83">
        <f>IF(I83="","",IF(I83="TP",1.5,IF(I83="SL",-1,0)))</f>
        <v/>
      </c>
      <c r="K83" s="5" t="n"/>
    </row>
    <row r="84">
      <c r="J84">
        <f>IF(I84="","",IF(I84="TP",1.5,IF(I84="SL",-1,0)))</f>
        <v/>
      </c>
      <c r="K84" s="5" t="n"/>
    </row>
    <row r="85">
      <c r="J85">
        <f>IF(I85="","",IF(I85="TP",1.5,IF(I85="SL",-1,0)))</f>
        <v/>
      </c>
      <c r="K85" s="5" t="n"/>
    </row>
    <row r="86">
      <c r="J86">
        <f>IF(I86="","",IF(I86="TP",1.5,IF(I86="SL",-1,0)))</f>
        <v/>
      </c>
      <c r="K86" s="5" t="n"/>
    </row>
    <row r="87">
      <c r="J87">
        <f>IF(I87="","",IF(I87="TP",1.5,IF(I87="SL",-1,0)))</f>
        <v/>
      </c>
      <c r="K87" s="5" t="n"/>
    </row>
    <row r="88">
      <c r="J88">
        <f>IF(I88="","",IF(I88="TP",1.5,IF(I88="SL",-1,0)))</f>
        <v/>
      </c>
      <c r="K88" s="5" t="n"/>
    </row>
    <row r="89">
      <c r="J89">
        <f>IF(I89="","",IF(I89="TP",1.5,IF(I89="SL",-1,0)))</f>
        <v/>
      </c>
      <c r="K89" s="5" t="n"/>
    </row>
    <row r="90">
      <c r="J90">
        <f>IF(I90="","",IF(I90="TP",1.5,IF(I90="SL",-1,0)))</f>
        <v/>
      </c>
      <c r="K90" s="5" t="n"/>
    </row>
    <row r="91">
      <c r="J91">
        <f>IF(I91="","",IF(I91="TP",1.5,IF(I91="SL",-1,0)))</f>
        <v/>
      </c>
      <c r="K91" s="5" t="n"/>
    </row>
    <row r="92">
      <c r="J92">
        <f>IF(I92="","",IF(I92="TP",1.5,IF(I92="SL",-1,0)))</f>
        <v/>
      </c>
      <c r="K92" s="5" t="n"/>
    </row>
    <row r="93">
      <c r="J93">
        <f>IF(I93="","",IF(I93="TP",1.5,IF(I93="SL",-1,0)))</f>
        <v/>
      </c>
      <c r="K93" s="5" t="n"/>
    </row>
    <row r="94">
      <c r="J94">
        <f>IF(I94="","",IF(I94="TP",1.5,IF(I94="SL",-1,0)))</f>
        <v/>
      </c>
      <c r="K94" s="5" t="n"/>
    </row>
    <row r="95">
      <c r="J95">
        <f>IF(I95="","",IF(I95="TP",1.5,IF(I95="SL",-1,0)))</f>
        <v/>
      </c>
      <c r="K95" s="5" t="n"/>
    </row>
    <row r="96">
      <c r="J96">
        <f>IF(I96="","",IF(I96="TP",1.5,IF(I96="SL",-1,0)))</f>
        <v/>
      </c>
      <c r="K96" s="5" t="n"/>
    </row>
    <row r="97">
      <c r="J97">
        <f>IF(I97="","",IF(I97="TP",1.5,IF(I97="SL",-1,0)))</f>
        <v/>
      </c>
      <c r="K97" s="5" t="n"/>
    </row>
    <row r="98">
      <c r="J98">
        <f>IF(I98="","",IF(I98="TP",1.5,IF(I98="SL",-1,0)))</f>
        <v/>
      </c>
      <c r="K98" s="5" t="n"/>
    </row>
    <row r="99">
      <c r="J99">
        <f>IF(I99="","",IF(I99="TP",1.5,IF(I99="SL",-1,0)))</f>
        <v/>
      </c>
      <c r="K99" s="5" t="n"/>
    </row>
    <row r="100">
      <c r="J100">
        <f>IF(I100="","",IF(I100="TP",1.5,IF(I100="SL",-1,0)))</f>
        <v/>
      </c>
      <c r="K100" s="5" t="n"/>
    </row>
    <row r="101">
      <c r="J101">
        <f>IF(I101="","",IF(I101="TP",1.5,IF(I101="SL",-1,0)))</f>
        <v/>
      </c>
      <c r="K101" s="5" t="n"/>
    </row>
    <row r="102">
      <c r="J102">
        <f>IF(I102="","",IF(I102="TP",1.5,IF(I102="SL",-1,0)))</f>
        <v/>
      </c>
      <c r="K102" s="5" t="n"/>
    </row>
    <row r="103">
      <c r="J103">
        <f>IF(I103="","",IF(I103="TP",1.5,IF(I103="SL",-1,0)))</f>
        <v/>
      </c>
      <c r="K103" s="5" t="n"/>
    </row>
    <row r="104">
      <c r="J104">
        <f>IF(I104="","",IF(I104="TP",1.5,IF(I104="SL",-1,0)))</f>
        <v/>
      </c>
      <c r="K104" s="5" t="n"/>
    </row>
    <row r="105">
      <c r="J105">
        <f>IF(I105="","",IF(I105="TP",1.5,IF(I105="SL",-1,0)))</f>
        <v/>
      </c>
      <c r="K105" s="5" t="n"/>
    </row>
    <row r="106">
      <c r="J106">
        <f>IF(I106="","",IF(I106="TP",1.5,IF(I106="SL",-1,0)))</f>
        <v/>
      </c>
      <c r="K106" s="5" t="n"/>
    </row>
    <row r="107">
      <c r="J107">
        <f>IF(I107="","",IF(I107="TP",1.5,IF(I107="SL",-1,0)))</f>
        <v/>
      </c>
      <c r="K107" s="5" t="n"/>
    </row>
    <row r="108">
      <c r="J108">
        <f>IF(I108="","",IF(I108="TP",1.5,IF(I108="SL",-1,0)))</f>
        <v/>
      </c>
      <c r="K108" s="5" t="n"/>
    </row>
    <row r="109">
      <c r="J109">
        <f>IF(I109="","",IF(I109="TP",1.5,IF(I109="SL",-1,0)))</f>
        <v/>
      </c>
      <c r="K109" s="5" t="n"/>
    </row>
    <row r="110">
      <c r="J110">
        <f>IF(I110="","",IF(I110="TP",1.5,IF(I110="SL",-1,0)))</f>
        <v/>
      </c>
      <c r="K110" s="5" t="n"/>
    </row>
    <row r="111">
      <c r="J111">
        <f>IF(I111="","",IF(I111="TP",1.5,IF(I111="SL",-1,0)))</f>
        <v/>
      </c>
      <c r="K111" s="5" t="n"/>
    </row>
    <row r="112">
      <c r="J112">
        <f>IF(I112="","",IF(I112="TP",1.5,IF(I112="SL",-1,0)))</f>
        <v/>
      </c>
      <c r="K112" s="5" t="n"/>
    </row>
    <row r="113">
      <c r="J113">
        <f>IF(I113="","",IF(I113="TP",1.5,IF(I113="SL",-1,0)))</f>
        <v/>
      </c>
      <c r="K113" s="5" t="n"/>
    </row>
    <row r="114">
      <c r="J114">
        <f>IF(I114="","",IF(I114="TP",1.5,IF(I114="SL",-1,0)))</f>
        <v/>
      </c>
      <c r="K114" s="5" t="n"/>
    </row>
    <row r="115">
      <c r="J115">
        <f>IF(I115="","",IF(I115="TP",1.5,IF(I115="SL",-1,0)))</f>
        <v/>
      </c>
      <c r="K115" s="5" t="n"/>
    </row>
    <row r="116">
      <c r="J116">
        <f>IF(I116="","",IF(I116="TP",1.5,IF(I116="SL",-1,0)))</f>
        <v/>
      </c>
      <c r="K116" s="5" t="n"/>
    </row>
    <row r="117">
      <c r="J117">
        <f>IF(I117="","",IF(I117="TP",1.5,IF(I117="SL",-1,0)))</f>
        <v/>
      </c>
      <c r="K117" s="5" t="n"/>
    </row>
    <row r="118">
      <c r="J118">
        <f>IF(I118="","",IF(I118="TP",1.5,IF(I118="SL",-1,0)))</f>
        <v/>
      </c>
      <c r="K118" s="5" t="n"/>
    </row>
    <row r="119">
      <c r="J119">
        <f>IF(I119="","",IF(I119="TP",1.5,IF(I119="SL",-1,0)))</f>
        <v/>
      </c>
      <c r="K119" s="5" t="n"/>
    </row>
    <row r="120">
      <c r="J120">
        <f>IF(I120="","",IF(I120="TP",1.5,IF(I120="SL",-1,0)))</f>
        <v/>
      </c>
      <c r="K120" s="5" t="n"/>
    </row>
    <row r="121">
      <c r="J121">
        <f>IF(I121="","",IF(I121="TP",1.5,IF(I121="SL",-1,0)))</f>
        <v/>
      </c>
      <c r="K121" s="5" t="n"/>
    </row>
    <row r="122">
      <c r="J122">
        <f>IF(I122="","",IF(I122="TP",1.5,IF(I122="SL",-1,0)))</f>
        <v/>
      </c>
      <c r="K122" s="5" t="n"/>
    </row>
    <row r="123">
      <c r="J123">
        <f>IF(I123="","",IF(I123="TP",1.5,IF(I123="SL",-1,0)))</f>
        <v/>
      </c>
      <c r="K123" s="5" t="n"/>
    </row>
    <row r="124">
      <c r="J124">
        <f>IF(I124="","",IF(I124="TP",1.5,IF(I124="SL",-1,0)))</f>
        <v/>
      </c>
      <c r="K124" s="5" t="n"/>
    </row>
    <row r="125">
      <c r="J125">
        <f>IF(I125="","",IF(I125="TP",1.5,IF(I125="SL",-1,0)))</f>
        <v/>
      </c>
      <c r="K125" s="5" t="n"/>
    </row>
    <row r="126">
      <c r="J126">
        <f>IF(I126="","",IF(I126="TP",1.5,IF(I126="SL",-1,0)))</f>
        <v/>
      </c>
      <c r="K126" s="5" t="n"/>
    </row>
    <row r="127">
      <c r="J127">
        <f>IF(I127="","",IF(I127="TP",1.5,IF(I127="SL",-1,0)))</f>
        <v/>
      </c>
      <c r="K127" s="5" t="n"/>
    </row>
    <row r="128">
      <c r="J128">
        <f>IF(I128="","",IF(I128="TP",1.5,IF(I128="SL",-1,0)))</f>
        <v/>
      </c>
      <c r="K128" s="5" t="n"/>
    </row>
    <row r="129">
      <c r="J129">
        <f>IF(I129="","",IF(I129="TP",1.5,IF(I129="SL",-1,0)))</f>
        <v/>
      </c>
      <c r="K129" s="5" t="n"/>
    </row>
    <row r="130">
      <c r="J130">
        <f>IF(I130="","",IF(I130="TP",1.5,IF(I130="SL",-1,0)))</f>
        <v/>
      </c>
      <c r="K130" s="5" t="n"/>
    </row>
    <row r="131">
      <c r="J131">
        <f>IF(I131="","",IF(I131="TP",1.5,IF(I131="SL",-1,0)))</f>
        <v/>
      </c>
      <c r="K131" s="5" t="n"/>
    </row>
    <row r="132">
      <c r="J132">
        <f>IF(I132="","",IF(I132="TP",1.5,IF(I132="SL",-1,0)))</f>
        <v/>
      </c>
      <c r="K132" s="5" t="n"/>
    </row>
    <row r="133">
      <c r="J133">
        <f>IF(I133="","",IF(I133="TP",1.5,IF(I133="SL",-1,0)))</f>
        <v/>
      </c>
      <c r="K133" s="5" t="n"/>
    </row>
    <row r="134">
      <c r="J134">
        <f>IF(I134="","",IF(I134="TP",1.5,IF(I134="SL",-1,0)))</f>
        <v/>
      </c>
      <c r="K134" s="5" t="n"/>
    </row>
    <row r="135">
      <c r="J135">
        <f>IF(I135="","",IF(I135="TP",1.5,IF(I135="SL",-1,0)))</f>
        <v/>
      </c>
      <c r="K135" s="5" t="n"/>
    </row>
    <row r="136">
      <c r="J136">
        <f>IF(I136="","",IF(I136="TP",1.5,IF(I136="SL",-1,0)))</f>
        <v/>
      </c>
      <c r="K136" s="5" t="n"/>
    </row>
    <row r="137">
      <c r="J137">
        <f>IF(I137="","",IF(I137="TP",1.5,IF(I137="SL",-1,0)))</f>
        <v/>
      </c>
      <c r="K137" s="5" t="n"/>
    </row>
    <row r="138">
      <c r="J138">
        <f>IF(I138="","",IF(I138="TP",1.5,IF(I138="SL",-1,0)))</f>
        <v/>
      </c>
      <c r="K138" s="5" t="n"/>
    </row>
    <row r="139">
      <c r="J139">
        <f>IF(I139="","",IF(I139="TP",1.5,IF(I139="SL",-1,0)))</f>
        <v/>
      </c>
      <c r="K139" s="5" t="n"/>
    </row>
    <row r="140">
      <c r="J140">
        <f>IF(I140="","",IF(I140="TP",1.5,IF(I140="SL",-1,0)))</f>
        <v/>
      </c>
      <c r="K140" s="5" t="n"/>
    </row>
    <row r="141">
      <c r="J141">
        <f>IF(I141="","",IF(I141="TP",1.5,IF(I141="SL",-1,0)))</f>
        <v/>
      </c>
      <c r="K141" s="5" t="n"/>
    </row>
    <row r="142">
      <c r="J142">
        <f>IF(I142="","",IF(I142="TP",1.5,IF(I142="SL",-1,0)))</f>
        <v/>
      </c>
      <c r="K142" s="5" t="n"/>
    </row>
    <row r="143">
      <c r="J143">
        <f>IF(I143="","",IF(I143="TP",1.5,IF(I143="SL",-1,0)))</f>
        <v/>
      </c>
      <c r="K143" s="5" t="n"/>
    </row>
    <row r="144">
      <c r="J144">
        <f>IF(I144="","",IF(I144="TP",1.5,IF(I144="SL",-1,0)))</f>
        <v/>
      </c>
      <c r="K144" s="5" t="n"/>
    </row>
    <row r="145">
      <c r="J145">
        <f>IF(I145="","",IF(I145="TP",1.5,IF(I145="SL",-1,0)))</f>
        <v/>
      </c>
      <c r="K145" s="5" t="n"/>
    </row>
    <row r="146">
      <c r="J146">
        <f>IF(I146="","",IF(I146="TP",1.5,IF(I146="SL",-1,0)))</f>
        <v/>
      </c>
      <c r="K146" s="5" t="n"/>
    </row>
    <row r="147">
      <c r="J147">
        <f>IF(I147="","",IF(I147="TP",1.5,IF(I147="SL",-1,0)))</f>
        <v/>
      </c>
      <c r="K147" s="5" t="n"/>
    </row>
    <row r="148">
      <c r="J148">
        <f>IF(I148="","",IF(I148="TP",1.5,IF(I148="SL",-1,0)))</f>
        <v/>
      </c>
      <c r="K148" s="5" t="n"/>
    </row>
    <row r="149">
      <c r="J149">
        <f>IF(I149="","",IF(I149="TP",1.5,IF(I149="SL",-1,0)))</f>
        <v/>
      </c>
      <c r="K149" s="5" t="n"/>
    </row>
    <row r="150">
      <c r="J150">
        <f>IF(I150="","",IF(I150="TP",1.5,IF(I150="SL",-1,0)))</f>
        <v/>
      </c>
      <c r="K150" s="5" t="n"/>
    </row>
    <row r="151">
      <c r="J151">
        <f>IF(I151="","",IF(I151="TP",1.5,IF(I151="SL",-1,0)))</f>
        <v/>
      </c>
      <c r="K151" s="5" t="n"/>
    </row>
    <row r="152">
      <c r="J152">
        <f>IF(I152="","",IF(I152="TP",1.5,IF(I152="SL",-1,0)))</f>
        <v/>
      </c>
      <c r="K152" s="5" t="n"/>
    </row>
    <row r="153">
      <c r="J153">
        <f>IF(I153="","",IF(I153="TP",1.5,IF(I153="SL",-1,0)))</f>
        <v/>
      </c>
      <c r="K153" s="5" t="n"/>
    </row>
    <row r="154">
      <c r="J154">
        <f>IF(I154="","",IF(I154="TP",1.5,IF(I154="SL",-1,0)))</f>
        <v/>
      </c>
      <c r="K154" s="5" t="n"/>
    </row>
    <row r="155">
      <c r="J155">
        <f>IF(I155="","",IF(I155="TP",1.5,IF(I155="SL",-1,0)))</f>
        <v/>
      </c>
      <c r="K155" s="5" t="n"/>
    </row>
    <row r="156">
      <c r="J156">
        <f>IF(I156="","",IF(I156="TP",1.5,IF(I156="SL",-1,0)))</f>
        <v/>
      </c>
      <c r="K156" s="5" t="n"/>
    </row>
    <row r="157">
      <c r="J157">
        <f>IF(I157="","",IF(I157="TP",1.5,IF(I157="SL",-1,0)))</f>
        <v/>
      </c>
      <c r="K157" s="5" t="n"/>
    </row>
    <row r="158">
      <c r="J158">
        <f>IF(I158="","",IF(I158="TP",1.5,IF(I158="SL",-1,0)))</f>
        <v/>
      </c>
      <c r="K158" s="5" t="n"/>
    </row>
    <row r="159">
      <c r="J159">
        <f>IF(I159="","",IF(I159="TP",1.5,IF(I159="SL",-1,0)))</f>
        <v/>
      </c>
      <c r="K159" s="5" t="n"/>
    </row>
    <row r="160">
      <c r="J160">
        <f>IF(I160="","",IF(I160="TP",1.5,IF(I160="SL",-1,0)))</f>
        <v/>
      </c>
      <c r="K160" s="5" t="n"/>
    </row>
    <row r="161">
      <c r="J161">
        <f>IF(I161="","",IF(I161="TP",1.5,IF(I161="SL",-1,0)))</f>
        <v/>
      </c>
      <c r="K161" s="5" t="n"/>
    </row>
    <row r="162">
      <c r="J162">
        <f>IF(I162="","",IF(I162="TP",1.5,IF(I162="SL",-1,0)))</f>
        <v/>
      </c>
      <c r="K162" s="5" t="n"/>
    </row>
    <row r="163">
      <c r="J163">
        <f>IF(I163="","",IF(I163="TP",1.5,IF(I163="SL",-1,0)))</f>
        <v/>
      </c>
      <c r="K163" s="5" t="n"/>
    </row>
    <row r="164">
      <c r="J164">
        <f>IF(I164="","",IF(I164="TP",1.5,IF(I164="SL",-1,0)))</f>
        <v/>
      </c>
      <c r="K164" s="5" t="n"/>
    </row>
    <row r="165">
      <c r="J165">
        <f>IF(I165="","",IF(I165="TP",1.5,IF(I165="SL",-1,0)))</f>
        <v/>
      </c>
      <c r="K165" s="5" t="n"/>
    </row>
    <row r="166">
      <c r="J166">
        <f>IF(I166="","",IF(I166="TP",1.5,IF(I166="SL",-1,0)))</f>
        <v/>
      </c>
      <c r="K166" s="5" t="n"/>
    </row>
    <row r="167">
      <c r="J167">
        <f>IF(I167="","",IF(I167="TP",1.5,IF(I167="SL",-1,0)))</f>
        <v/>
      </c>
      <c r="K167" s="5" t="n"/>
    </row>
    <row r="168">
      <c r="J168">
        <f>IF(I168="","",IF(I168="TP",1.5,IF(I168="SL",-1,0)))</f>
        <v/>
      </c>
      <c r="K168" s="5" t="n"/>
    </row>
    <row r="169">
      <c r="J169">
        <f>IF(I169="","",IF(I169="TP",1.5,IF(I169="SL",-1,0)))</f>
        <v/>
      </c>
      <c r="K169" s="5" t="n"/>
    </row>
    <row r="170">
      <c r="J170">
        <f>IF(I170="","",IF(I170="TP",1.5,IF(I170="SL",-1,0)))</f>
        <v/>
      </c>
      <c r="K170" s="5" t="n"/>
    </row>
    <row r="171">
      <c r="J171">
        <f>IF(I171="","",IF(I171="TP",1.5,IF(I171="SL",-1,0)))</f>
        <v/>
      </c>
      <c r="K171" s="5" t="n"/>
    </row>
    <row r="172">
      <c r="J172">
        <f>IF(I172="","",IF(I172="TP",1.5,IF(I172="SL",-1,0)))</f>
        <v/>
      </c>
      <c r="K172" s="5" t="n"/>
    </row>
    <row r="173">
      <c r="J173">
        <f>IF(I173="","",IF(I173="TP",1.5,IF(I173="SL",-1,0)))</f>
        <v/>
      </c>
      <c r="K173" s="5" t="n"/>
    </row>
    <row r="174">
      <c r="J174">
        <f>IF(I174="","",IF(I174="TP",1.5,IF(I174="SL",-1,0)))</f>
        <v/>
      </c>
      <c r="K174" s="5" t="n"/>
    </row>
    <row r="175">
      <c r="J175">
        <f>IF(I175="","",IF(I175="TP",1.5,IF(I175="SL",-1,0)))</f>
        <v/>
      </c>
      <c r="K175" s="5" t="n"/>
    </row>
    <row r="176">
      <c r="J176">
        <f>IF(I176="","",IF(I176="TP",1.5,IF(I176="SL",-1,0)))</f>
        <v/>
      </c>
      <c r="K176" s="5" t="n"/>
    </row>
    <row r="177">
      <c r="J177">
        <f>IF(I177="","",IF(I177="TP",1.5,IF(I177="SL",-1,0)))</f>
        <v/>
      </c>
      <c r="K177" s="5" t="n"/>
    </row>
    <row r="178">
      <c r="J178">
        <f>IF(I178="","",IF(I178="TP",1.5,IF(I178="SL",-1,0)))</f>
        <v/>
      </c>
      <c r="K178" s="5" t="n"/>
    </row>
    <row r="179">
      <c r="J179">
        <f>IF(I179="","",IF(I179="TP",1.5,IF(I179="SL",-1,0)))</f>
        <v/>
      </c>
      <c r="K179" s="5" t="n"/>
    </row>
    <row r="180">
      <c r="J180">
        <f>IF(I180="","",IF(I180="TP",1.5,IF(I180="SL",-1,0)))</f>
        <v/>
      </c>
      <c r="K180" s="5" t="n"/>
    </row>
    <row r="181">
      <c r="J181">
        <f>IF(I181="","",IF(I181="TP",1.5,IF(I181="SL",-1,0)))</f>
        <v/>
      </c>
      <c r="K181" s="5" t="n"/>
    </row>
    <row r="182">
      <c r="J182">
        <f>IF(I182="","",IF(I182="TP",1.5,IF(I182="SL",-1,0)))</f>
        <v/>
      </c>
      <c r="K182" s="5" t="n"/>
    </row>
    <row r="183">
      <c r="J183">
        <f>IF(I183="","",IF(I183="TP",1.5,IF(I183="SL",-1,0)))</f>
        <v/>
      </c>
      <c r="K183" s="5" t="n"/>
    </row>
    <row r="184">
      <c r="J184">
        <f>IF(I184="","",IF(I184="TP",1.5,IF(I184="SL",-1,0)))</f>
        <v/>
      </c>
      <c r="K184" s="5" t="n"/>
    </row>
    <row r="185">
      <c r="J185">
        <f>IF(I185="","",IF(I185="TP",1.5,IF(I185="SL",-1,0)))</f>
        <v/>
      </c>
      <c r="K185" s="5" t="n"/>
    </row>
    <row r="186">
      <c r="J186">
        <f>IF(I186="","",IF(I186="TP",1.5,IF(I186="SL",-1,0)))</f>
        <v/>
      </c>
      <c r="K186" s="5" t="n"/>
    </row>
    <row r="187">
      <c r="J187">
        <f>IF(I187="","",IF(I187="TP",1.5,IF(I187="SL",-1,0)))</f>
        <v/>
      </c>
      <c r="K187" s="5" t="n"/>
    </row>
    <row r="188">
      <c r="J188">
        <f>IF(I188="","",IF(I188="TP",1.5,IF(I188="SL",-1,0)))</f>
        <v/>
      </c>
      <c r="K188" s="5" t="n"/>
    </row>
    <row r="189">
      <c r="J189">
        <f>IF(I189="","",IF(I189="TP",1.5,IF(I189="SL",-1,0)))</f>
        <v/>
      </c>
      <c r="K189" s="5" t="n"/>
    </row>
    <row r="190">
      <c r="J190">
        <f>IF(I190="","",IF(I190="TP",1.5,IF(I190="SL",-1,0)))</f>
        <v/>
      </c>
      <c r="K190" s="5" t="n"/>
    </row>
    <row r="191">
      <c r="J191">
        <f>IF(I191="","",IF(I191="TP",1.5,IF(I191="SL",-1,0)))</f>
        <v/>
      </c>
      <c r="K191" s="5" t="n"/>
    </row>
    <row r="192">
      <c r="J192">
        <f>IF(I192="","",IF(I192="TP",1.5,IF(I192="SL",-1,0)))</f>
        <v/>
      </c>
      <c r="K192" s="5" t="n"/>
    </row>
    <row r="193">
      <c r="J193">
        <f>IF(I193="","",IF(I193="TP",1.5,IF(I193="SL",-1,0)))</f>
        <v/>
      </c>
      <c r="K193" s="5" t="n"/>
    </row>
    <row r="194">
      <c r="J194">
        <f>IF(I194="","",IF(I194="TP",1.5,IF(I194="SL",-1,0)))</f>
        <v/>
      </c>
      <c r="K194" s="5" t="n"/>
    </row>
    <row r="195">
      <c r="J195">
        <f>IF(I195="","",IF(I195="TP",1.5,IF(I195="SL",-1,0)))</f>
        <v/>
      </c>
      <c r="K195" s="5" t="n"/>
    </row>
    <row r="196">
      <c r="J196">
        <f>IF(I196="","",IF(I196="TP",1.5,IF(I196="SL",-1,0)))</f>
        <v/>
      </c>
      <c r="K196" s="5" t="n"/>
    </row>
    <row r="197">
      <c r="J197">
        <f>IF(I197="","",IF(I197="TP",1.5,IF(I197="SL",-1,0)))</f>
        <v/>
      </c>
      <c r="K197" s="5" t="n"/>
    </row>
    <row r="198">
      <c r="J198">
        <f>IF(I198="","",IF(I198="TP",1.5,IF(I198="SL",-1,0)))</f>
        <v/>
      </c>
      <c r="K198" s="5" t="n"/>
    </row>
    <row r="199">
      <c r="J199">
        <f>IF(I199="","",IF(I199="TP",1.5,IF(I199="SL",-1,0)))</f>
        <v/>
      </c>
      <c r="K199" s="5" t="n"/>
    </row>
    <row r="200">
      <c r="J200">
        <f>IF(I200="","",IF(I200="TP",1.5,IF(I200="SL",-1,0)))</f>
        <v/>
      </c>
      <c r="K200" s="5" t="n"/>
    </row>
    <row r="201">
      <c r="J201">
        <f>IF(I201="","",IF(I201="TP",1.5,IF(I201="SL",-1,0)))</f>
        <v/>
      </c>
      <c r="K201" s="5" t="n"/>
    </row>
    <row r="202">
      <c r="J202">
        <f>IF(I202="","",IF(I202="TP",1.5,IF(I202="SL",-1,0)))</f>
        <v/>
      </c>
      <c r="K202" s="5" t="n"/>
    </row>
    <row r="203">
      <c r="J203">
        <f>IF(I203="","",IF(I203="TP",1.5,IF(I203="SL",-1,0)))</f>
        <v/>
      </c>
      <c r="K203" s="5" t="n"/>
    </row>
    <row r="204">
      <c r="J204">
        <f>IF(I204="","",IF(I204="TP",1.5,IF(I204="SL",-1,0)))</f>
        <v/>
      </c>
      <c r="K204" s="5" t="n"/>
    </row>
    <row r="205">
      <c r="J205">
        <f>IF(I205="","",IF(I205="TP",1.5,IF(I205="SL",-1,0)))</f>
        <v/>
      </c>
      <c r="K205" s="5" t="n"/>
    </row>
    <row r="206">
      <c r="J206">
        <f>IF(I206="","",IF(I206="TP",1.5,IF(I206="SL",-1,0)))</f>
        <v/>
      </c>
      <c r="K206" s="5" t="n"/>
    </row>
    <row r="207">
      <c r="J207">
        <f>IF(I207="","",IF(I207="TP",1.5,IF(I207="SL",-1,0)))</f>
        <v/>
      </c>
      <c r="K207" s="5" t="n"/>
    </row>
    <row r="208">
      <c r="J208">
        <f>IF(I208="","",IF(I208="TP",1.5,IF(I208="SL",-1,0)))</f>
        <v/>
      </c>
      <c r="K208" s="5" t="n"/>
    </row>
    <row r="209">
      <c r="J209">
        <f>IF(I209="","",IF(I209="TP",1.5,IF(I209="SL",-1,0)))</f>
        <v/>
      </c>
      <c r="K209" s="5" t="n"/>
    </row>
    <row r="210">
      <c r="J210">
        <f>IF(I210="","",IF(I210="TP",1.5,IF(I210="SL",-1,0)))</f>
        <v/>
      </c>
      <c r="K210" s="5" t="n"/>
    </row>
    <row r="211">
      <c r="J211">
        <f>IF(I211="","",IF(I211="TP",1.5,IF(I211="SL",-1,0)))</f>
        <v/>
      </c>
      <c r="K211" s="5" t="n"/>
    </row>
    <row r="212">
      <c r="J212">
        <f>IF(I212="","",IF(I212="TP",1.5,IF(I212="SL",-1,0)))</f>
        <v/>
      </c>
      <c r="K212" s="5" t="n"/>
    </row>
    <row r="213">
      <c r="J213">
        <f>IF(I213="","",IF(I213="TP",1.5,IF(I213="SL",-1,0)))</f>
        <v/>
      </c>
      <c r="K213" s="5" t="n"/>
    </row>
    <row r="214">
      <c r="J214">
        <f>IF(I214="","",IF(I214="TP",1.5,IF(I214="SL",-1,0)))</f>
        <v/>
      </c>
      <c r="K214" s="5" t="n"/>
    </row>
    <row r="215">
      <c r="J215">
        <f>IF(I215="","",IF(I215="TP",1.5,IF(I215="SL",-1,0)))</f>
        <v/>
      </c>
      <c r="K215" s="5" t="n"/>
    </row>
    <row r="216">
      <c r="J216">
        <f>IF(I216="","",IF(I216="TP",1.5,IF(I216="SL",-1,0)))</f>
        <v/>
      </c>
      <c r="K216" s="5" t="n"/>
    </row>
    <row r="217">
      <c r="J217">
        <f>IF(I217="","",IF(I217="TP",1.5,IF(I217="SL",-1,0)))</f>
        <v/>
      </c>
      <c r="K217" s="5" t="n"/>
    </row>
    <row r="218">
      <c r="J218">
        <f>IF(I218="","",IF(I218="TP",1.5,IF(I218="SL",-1,0)))</f>
        <v/>
      </c>
      <c r="K218" s="5" t="n"/>
    </row>
    <row r="219">
      <c r="J219">
        <f>IF(I219="","",IF(I219="TP",1.5,IF(I219="SL",-1,0)))</f>
        <v/>
      </c>
      <c r="K219" s="5" t="n"/>
    </row>
    <row r="220">
      <c r="J220">
        <f>IF(I220="","",IF(I220="TP",1.5,IF(I220="SL",-1,0)))</f>
        <v/>
      </c>
      <c r="K220" s="5" t="n"/>
    </row>
    <row r="221">
      <c r="J221">
        <f>IF(I221="","",IF(I221="TP",1.5,IF(I221="SL",-1,0)))</f>
        <v/>
      </c>
      <c r="K221" s="5" t="n"/>
    </row>
    <row r="222">
      <c r="J222">
        <f>IF(I222="","",IF(I222="TP",1.5,IF(I222="SL",-1,0)))</f>
        <v/>
      </c>
      <c r="K222" s="5" t="n"/>
    </row>
    <row r="223">
      <c r="J223">
        <f>IF(I223="","",IF(I223="TP",1.5,IF(I223="SL",-1,0)))</f>
        <v/>
      </c>
      <c r="K223" s="5" t="n"/>
    </row>
    <row r="224">
      <c r="J224">
        <f>IF(I224="","",IF(I224="TP",1.5,IF(I224="SL",-1,0)))</f>
        <v/>
      </c>
      <c r="K224" s="5" t="n"/>
    </row>
    <row r="225">
      <c r="J225">
        <f>IF(I225="","",IF(I225="TP",1.5,IF(I225="SL",-1,0)))</f>
        <v/>
      </c>
      <c r="K225" s="5" t="n"/>
    </row>
    <row r="226">
      <c r="J226">
        <f>IF(I226="","",IF(I226="TP",1.5,IF(I226="SL",-1,0)))</f>
        <v/>
      </c>
      <c r="K226" s="5" t="n"/>
    </row>
    <row r="227">
      <c r="J227">
        <f>IF(I227="","",IF(I227="TP",1.5,IF(I227="SL",-1,0)))</f>
        <v/>
      </c>
      <c r="K227" s="5" t="n"/>
    </row>
    <row r="228">
      <c r="J228">
        <f>IF(I228="","",IF(I228="TP",1.5,IF(I228="SL",-1,0)))</f>
        <v/>
      </c>
      <c r="K228" s="5" t="n"/>
    </row>
    <row r="229">
      <c r="J229">
        <f>IF(I229="","",IF(I229="TP",1.5,IF(I229="SL",-1,0)))</f>
        <v/>
      </c>
      <c r="K229" s="5" t="n"/>
    </row>
    <row r="230">
      <c r="J230">
        <f>IF(I230="","",IF(I230="TP",1.5,IF(I230="SL",-1,0)))</f>
        <v/>
      </c>
      <c r="K230" s="5" t="n"/>
    </row>
    <row r="231">
      <c r="J231">
        <f>IF(I231="","",IF(I231="TP",1.5,IF(I231="SL",-1,0)))</f>
        <v/>
      </c>
      <c r="K231" s="5" t="n"/>
    </row>
    <row r="232">
      <c r="J232">
        <f>IF(I232="","",IF(I232="TP",1.5,IF(I232="SL",-1,0)))</f>
        <v/>
      </c>
      <c r="K232" s="5" t="n"/>
    </row>
    <row r="233">
      <c r="J233">
        <f>IF(I233="","",IF(I233="TP",1.5,IF(I233="SL",-1,0)))</f>
        <v/>
      </c>
      <c r="K233" s="5" t="n"/>
    </row>
    <row r="234">
      <c r="J234">
        <f>IF(I234="","",IF(I234="TP",1.5,IF(I234="SL",-1,0)))</f>
        <v/>
      </c>
      <c r="K234" s="5" t="n"/>
    </row>
    <row r="235">
      <c r="J235">
        <f>IF(I235="","",IF(I235="TP",1.5,IF(I235="SL",-1,0)))</f>
        <v/>
      </c>
      <c r="K235" s="5" t="n"/>
    </row>
    <row r="236">
      <c r="J236">
        <f>IF(I236="","",IF(I236="TP",1.5,IF(I236="SL",-1,0)))</f>
        <v/>
      </c>
      <c r="K236" s="5" t="n"/>
    </row>
    <row r="237">
      <c r="J237">
        <f>IF(I237="","",IF(I237="TP",1.5,IF(I237="SL",-1,0)))</f>
        <v/>
      </c>
      <c r="K237" s="5" t="n"/>
    </row>
    <row r="238">
      <c r="J238">
        <f>IF(I238="","",IF(I238="TP",1.5,IF(I238="SL",-1,0)))</f>
        <v/>
      </c>
      <c r="K238" s="5" t="n"/>
    </row>
    <row r="239">
      <c r="J239">
        <f>IF(I239="","",IF(I239="TP",1.5,IF(I239="SL",-1,0)))</f>
        <v/>
      </c>
      <c r="K239" s="5" t="n"/>
    </row>
    <row r="240">
      <c r="J240">
        <f>IF(I240="","",IF(I240="TP",1.5,IF(I240="SL",-1,0)))</f>
        <v/>
      </c>
      <c r="K240" s="5" t="n"/>
    </row>
    <row r="241">
      <c r="J241">
        <f>IF(I241="","",IF(I241="TP",1.5,IF(I241="SL",-1,0)))</f>
        <v/>
      </c>
      <c r="K241" s="5" t="n"/>
    </row>
    <row r="242">
      <c r="J242">
        <f>IF(I242="","",IF(I242="TP",1.5,IF(I242="SL",-1,0)))</f>
        <v/>
      </c>
      <c r="K242" s="5" t="n"/>
    </row>
    <row r="243">
      <c r="J243">
        <f>IF(I243="","",IF(I243="TP",1.5,IF(I243="SL",-1,0)))</f>
        <v/>
      </c>
      <c r="K243" s="5" t="n"/>
    </row>
    <row r="244">
      <c r="J244">
        <f>IF(I244="","",IF(I244="TP",1.5,IF(I244="SL",-1,0)))</f>
        <v/>
      </c>
      <c r="K244" s="5" t="n"/>
    </row>
    <row r="245">
      <c r="J245">
        <f>IF(I245="","",IF(I245="TP",1.5,IF(I245="SL",-1,0)))</f>
        <v/>
      </c>
      <c r="K245" s="5" t="n"/>
    </row>
    <row r="246">
      <c r="J246">
        <f>IF(I246="","",IF(I246="TP",1.5,IF(I246="SL",-1,0)))</f>
        <v/>
      </c>
      <c r="K246" s="5" t="n"/>
    </row>
    <row r="247">
      <c r="J247">
        <f>IF(I247="","",IF(I247="TP",1.5,IF(I247="SL",-1,0)))</f>
        <v/>
      </c>
      <c r="K247" s="5" t="n"/>
    </row>
    <row r="248">
      <c r="J248">
        <f>IF(I248="","",IF(I248="TP",1.5,IF(I248="SL",-1,0)))</f>
        <v/>
      </c>
      <c r="K248" s="5" t="n"/>
    </row>
    <row r="249">
      <c r="J249">
        <f>IF(I249="","",IF(I249="TP",1.5,IF(I249="SL",-1,0)))</f>
        <v/>
      </c>
      <c r="K249" s="5" t="n"/>
    </row>
    <row r="250">
      <c r="J250">
        <f>IF(I250="","",IF(I250="TP",1.5,IF(I250="SL",-1,0)))</f>
        <v/>
      </c>
      <c r="K250" s="5" t="n"/>
    </row>
    <row r="251">
      <c r="J251">
        <f>IF(I251="","",IF(I251="TP",1.5,IF(I251="SL",-1,0)))</f>
        <v/>
      </c>
      <c r="K251" s="5" t="n"/>
    </row>
    <row r="252">
      <c r="J252">
        <f>IF(I252="","",IF(I252="TP",1.5,IF(I252="SL",-1,0)))</f>
        <v/>
      </c>
      <c r="K252" s="5" t="n"/>
    </row>
    <row r="253">
      <c r="J253">
        <f>IF(I253="","",IF(I253="TP",1.5,IF(I253="SL",-1,0)))</f>
        <v/>
      </c>
      <c r="K253" s="5" t="n"/>
    </row>
    <row r="254">
      <c r="J254">
        <f>IF(I254="","",IF(I254="TP",1.5,IF(I254="SL",-1,0)))</f>
        <v/>
      </c>
      <c r="K254" s="5" t="n"/>
    </row>
    <row r="255">
      <c r="J255">
        <f>IF(I255="","",IF(I255="TP",1.5,IF(I255="SL",-1,0)))</f>
        <v/>
      </c>
      <c r="K255" s="5" t="n"/>
    </row>
    <row r="256">
      <c r="J256">
        <f>IF(I256="","",IF(I256="TP",1.5,IF(I256="SL",-1,0)))</f>
        <v/>
      </c>
      <c r="K256" s="5" t="n"/>
    </row>
    <row r="257">
      <c r="J257">
        <f>IF(I257="","",IF(I257="TP",1.5,IF(I257="SL",-1,0)))</f>
        <v/>
      </c>
      <c r="K257" s="5" t="n"/>
    </row>
    <row r="258">
      <c r="J258">
        <f>IF(I258="","",IF(I258="TP",1.5,IF(I258="SL",-1,0)))</f>
        <v/>
      </c>
      <c r="K258" s="5" t="n"/>
    </row>
    <row r="259">
      <c r="J259">
        <f>IF(I259="","",IF(I259="TP",1.5,IF(I259="SL",-1,0)))</f>
        <v/>
      </c>
      <c r="K259" s="5" t="n"/>
    </row>
    <row r="260">
      <c r="J260">
        <f>IF(I260="","",IF(I260="TP",1.5,IF(I260="SL",-1,0)))</f>
        <v/>
      </c>
      <c r="K260" s="5" t="n"/>
    </row>
    <row r="261">
      <c r="J261">
        <f>IF(I261="","",IF(I261="TP",1.5,IF(I261="SL",-1,0)))</f>
        <v/>
      </c>
      <c r="K261" s="5" t="n"/>
    </row>
    <row r="262">
      <c r="J262">
        <f>IF(I262="","",IF(I262="TP",1.5,IF(I262="SL",-1,0)))</f>
        <v/>
      </c>
      <c r="K262" s="5" t="n"/>
    </row>
    <row r="263">
      <c r="J263">
        <f>IF(I263="","",IF(I263="TP",1.5,IF(I263="SL",-1,0)))</f>
        <v/>
      </c>
      <c r="K263" s="5" t="n"/>
    </row>
    <row r="264">
      <c r="J264">
        <f>IF(I264="","",IF(I264="TP",1.5,IF(I264="SL",-1,0)))</f>
        <v/>
      </c>
      <c r="K264" s="5" t="n"/>
    </row>
    <row r="265">
      <c r="J265">
        <f>IF(I265="","",IF(I265="TP",1.5,IF(I265="SL",-1,0)))</f>
        <v/>
      </c>
      <c r="K265" s="5" t="n"/>
    </row>
    <row r="266">
      <c r="J266">
        <f>IF(I266="","",IF(I266="TP",1.5,IF(I266="SL",-1,0)))</f>
        <v/>
      </c>
      <c r="K266" s="5" t="n"/>
    </row>
    <row r="267">
      <c r="J267">
        <f>IF(I267="","",IF(I267="TP",1.5,IF(I267="SL",-1,0)))</f>
        <v/>
      </c>
      <c r="K267" s="5" t="n"/>
    </row>
    <row r="268">
      <c r="J268">
        <f>IF(I268="","",IF(I268="TP",1.5,IF(I268="SL",-1,0)))</f>
        <v/>
      </c>
      <c r="K268" s="5" t="n"/>
    </row>
    <row r="269">
      <c r="J269">
        <f>IF(I269="","",IF(I269="TP",1.5,IF(I269="SL",-1,0)))</f>
        <v/>
      </c>
      <c r="K269" s="5" t="n"/>
    </row>
    <row r="270">
      <c r="J270">
        <f>IF(I270="","",IF(I270="TP",1.5,IF(I270="SL",-1,0)))</f>
        <v/>
      </c>
      <c r="K270" s="5" t="n"/>
    </row>
    <row r="271">
      <c r="J271">
        <f>IF(I271="","",IF(I271="TP",1.5,IF(I271="SL",-1,0)))</f>
        <v/>
      </c>
      <c r="K271" s="5" t="n"/>
    </row>
    <row r="272">
      <c r="J272">
        <f>IF(I272="","",IF(I272="TP",1.5,IF(I272="SL",-1,0)))</f>
        <v/>
      </c>
      <c r="K272" s="5" t="n"/>
    </row>
    <row r="273">
      <c r="J273">
        <f>IF(I273="","",IF(I273="TP",1.5,IF(I273="SL",-1,0)))</f>
        <v/>
      </c>
      <c r="K273" s="5" t="n"/>
    </row>
    <row r="274">
      <c r="J274">
        <f>IF(I274="","",IF(I274="TP",1.5,IF(I274="SL",-1,0)))</f>
        <v/>
      </c>
      <c r="K274" s="5" t="n"/>
    </row>
    <row r="275">
      <c r="J275">
        <f>IF(I275="","",IF(I275="TP",1.5,IF(I275="SL",-1,0)))</f>
        <v/>
      </c>
      <c r="K275" s="5" t="n"/>
    </row>
    <row r="276">
      <c r="J276">
        <f>IF(I276="","",IF(I276="TP",1.5,IF(I276="SL",-1,0)))</f>
        <v/>
      </c>
      <c r="K276" s="5" t="n"/>
    </row>
    <row r="277">
      <c r="J277">
        <f>IF(I277="","",IF(I277="TP",1.5,IF(I277="SL",-1,0)))</f>
        <v/>
      </c>
      <c r="K277" s="5" t="n"/>
    </row>
    <row r="278">
      <c r="J278">
        <f>IF(I278="","",IF(I278="TP",1.5,IF(I278="SL",-1,0)))</f>
        <v/>
      </c>
      <c r="K278" s="5" t="n"/>
    </row>
    <row r="279">
      <c r="J279">
        <f>IF(I279="","",IF(I279="TP",1.5,IF(I279="SL",-1,0)))</f>
        <v/>
      </c>
      <c r="K279" s="5" t="n"/>
    </row>
    <row r="280">
      <c r="J280">
        <f>IF(I280="","",IF(I280="TP",1.5,IF(I280="SL",-1,0)))</f>
        <v/>
      </c>
      <c r="K280" s="5" t="n"/>
    </row>
    <row r="281">
      <c r="J281">
        <f>IF(I281="","",IF(I281="TP",1.5,IF(I281="SL",-1,0)))</f>
        <v/>
      </c>
      <c r="K281" s="5" t="n"/>
    </row>
    <row r="282">
      <c r="J282">
        <f>IF(I282="","",IF(I282="TP",1.5,IF(I282="SL",-1,0)))</f>
        <v/>
      </c>
      <c r="K282" s="5" t="n"/>
    </row>
    <row r="283">
      <c r="J283">
        <f>IF(I283="","",IF(I283="TP",1.5,IF(I283="SL",-1,0)))</f>
        <v/>
      </c>
      <c r="K283" s="5" t="n"/>
    </row>
    <row r="284">
      <c r="J284">
        <f>IF(I284="","",IF(I284="TP",1.5,IF(I284="SL",-1,0)))</f>
        <v/>
      </c>
      <c r="K284" s="5" t="n"/>
    </row>
    <row r="285">
      <c r="J285">
        <f>IF(I285="","",IF(I285="TP",1.5,IF(I285="SL",-1,0)))</f>
        <v/>
      </c>
      <c r="K285" s="5" t="n"/>
    </row>
    <row r="286">
      <c r="J286">
        <f>IF(I286="","",IF(I286="TP",1.5,IF(I286="SL",-1,0)))</f>
        <v/>
      </c>
      <c r="K286" s="5" t="n"/>
    </row>
    <row r="287">
      <c r="J287">
        <f>IF(I287="","",IF(I287="TP",1.5,IF(I287="SL",-1,0)))</f>
        <v/>
      </c>
      <c r="K287" s="5" t="n"/>
    </row>
    <row r="288">
      <c r="J288">
        <f>IF(I288="","",IF(I288="TP",1.5,IF(I288="SL",-1,0)))</f>
        <v/>
      </c>
      <c r="K288" s="5" t="n"/>
    </row>
    <row r="289">
      <c r="J289">
        <f>IF(I289="","",IF(I289="TP",1.5,IF(I289="SL",-1,0)))</f>
        <v/>
      </c>
      <c r="K289" s="5" t="n"/>
    </row>
    <row r="290">
      <c r="J290">
        <f>IF(I290="","",IF(I290="TP",1.5,IF(I290="SL",-1,0)))</f>
        <v/>
      </c>
      <c r="K290" s="5" t="n"/>
    </row>
    <row r="291">
      <c r="J291">
        <f>IF(I291="","",IF(I291="TP",1.5,IF(I291="SL",-1,0)))</f>
        <v/>
      </c>
      <c r="K291" s="5" t="n"/>
    </row>
    <row r="292">
      <c r="J292">
        <f>IF(I292="","",IF(I292="TP",1.5,IF(I292="SL",-1,0)))</f>
        <v/>
      </c>
      <c r="K292" s="5" t="n"/>
    </row>
    <row r="293">
      <c r="J293">
        <f>IF(I293="","",IF(I293="TP",1.5,IF(I293="SL",-1,0)))</f>
        <v/>
      </c>
      <c r="K293" s="5" t="n"/>
    </row>
    <row r="294">
      <c r="J294">
        <f>IF(I294="","",IF(I294="TP",1.5,IF(I294="SL",-1,0)))</f>
        <v/>
      </c>
      <c r="K294" s="5" t="n"/>
    </row>
    <row r="295">
      <c r="J295">
        <f>IF(I295="","",IF(I295="TP",1.5,IF(I295="SL",-1,0)))</f>
        <v/>
      </c>
      <c r="K295" s="5" t="n"/>
    </row>
    <row r="296">
      <c r="J296">
        <f>IF(I296="","",IF(I296="TP",1.5,IF(I296="SL",-1,0)))</f>
        <v/>
      </c>
      <c r="K296" s="5" t="n"/>
    </row>
    <row r="297">
      <c r="J297">
        <f>IF(I297="","",IF(I297="TP",1.5,IF(I297="SL",-1,0)))</f>
        <v/>
      </c>
      <c r="K297" s="5" t="n"/>
    </row>
    <row r="298">
      <c r="J298">
        <f>IF(I298="","",IF(I298="TP",1.5,IF(I298="SL",-1,0)))</f>
        <v/>
      </c>
      <c r="K298" s="5" t="n"/>
    </row>
    <row r="299">
      <c r="J299">
        <f>IF(I299="","",IF(I299="TP",1.5,IF(I299="SL",-1,0)))</f>
        <v/>
      </c>
      <c r="K299" s="5" t="n"/>
    </row>
    <row r="300">
      <c r="J300">
        <f>IF(I300="","",IF(I300="TP",1.5,IF(I300="SL",-1,0)))</f>
        <v/>
      </c>
      <c r="K300" s="5" t="n"/>
    </row>
    <row r="301">
      <c r="J301">
        <f>IF(I301="","",IF(I301="TP",1.5,IF(I301="SL",-1,0)))</f>
        <v/>
      </c>
      <c r="K301" s="5" t="n"/>
    </row>
    <row r="302">
      <c r="J302">
        <f>IF(I302="","",IF(I302="TP",1.5,IF(I302="SL",-1,0)))</f>
        <v/>
      </c>
      <c r="K302" s="5" t="n"/>
    </row>
    <row r="303">
      <c r="J303">
        <f>IF(I303="","",IF(I303="TP",1.5,IF(I303="SL",-1,0)))</f>
        <v/>
      </c>
      <c r="K303" s="5" t="n"/>
    </row>
    <row r="304">
      <c r="J304">
        <f>IF(I304="","",IF(I304="TP",1.5,IF(I304="SL",-1,0)))</f>
        <v/>
      </c>
      <c r="K304" s="5" t="n"/>
    </row>
    <row r="305">
      <c r="J305">
        <f>IF(I305="","",IF(I305="TP",1.5,IF(I305="SL",-1,0)))</f>
        <v/>
      </c>
      <c r="K305" s="5" t="n"/>
    </row>
    <row r="306">
      <c r="J306">
        <f>IF(I306="","",IF(I306="TP",1.5,IF(I306="SL",-1,0)))</f>
        <v/>
      </c>
      <c r="K306" s="5" t="n"/>
    </row>
    <row r="307">
      <c r="J307">
        <f>IF(I307="","",IF(I307="TP",1.5,IF(I307="SL",-1,0)))</f>
        <v/>
      </c>
      <c r="K307" s="5" t="n"/>
    </row>
    <row r="308">
      <c r="J308">
        <f>IF(I308="","",IF(I308="TP",1.5,IF(I308="SL",-1,0)))</f>
        <v/>
      </c>
      <c r="K308" s="5" t="n"/>
    </row>
    <row r="309">
      <c r="J309">
        <f>IF(I309="","",IF(I309="TP",1.5,IF(I309="SL",-1,0)))</f>
        <v/>
      </c>
      <c r="K309" s="5" t="n"/>
    </row>
    <row r="310">
      <c r="J310">
        <f>IF(I310="","",IF(I310="TP",1.5,IF(I310="SL",-1,0)))</f>
        <v/>
      </c>
      <c r="K310" s="5" t="n"/>
    </row>
    <row r="311">
      <c r="J311">
        <f>IF(I311="","",IF(I311="TP",1.5,IF(I311="SL",-1,0)))</f>
        <v/>
      </c>
      <c r="K311" s="5" t="n"/>
    </row>
    <row r="312">
      <c r="J312">
        <f>IF(I312="","",IF(I312="TP",1.5,IF(I312="SL",-1,0)))</f>
        <v/>
      </c>
      <c r="K312" s="5" t="n"/>
    </row>
    <row r="313">
      <c r="J313">
        <f>IF(I313="","",IF(I313="TP",1.5,IF(I313="SL",-1,0)))</f>
        <v/>
      </c>
      <c r="K313" s="5" t="n"/>
    </row>
    <row r="314">
      <c r="J314">
        <f>IF(I314="","",IF(I314="TP",1.5,IF(I314="SL",-1,0)))</f>
        <v/>
      </c>
      <c r="K314" s="5" t="n"/>
    </row>
    <row r="315">
      <c r="J315">
        <f>IF(I315="","",IF(I315="TP",1.5,IF(I315="SL",-1,0)))</f>
        <v/>
      </c>
      <c r="K315" s="5" t="n"/>
    </row>
    <row r="316">
      <c r="J316">
        <f>IF(I316="","",IF(I316="TP",1.5,IF(I316="SL",-1,0)))</f>
        <v/>
      </c>
      <c r="K316" s="5" t="n"/>
    </row>
    <row r="317">
      <c r="J317">
        <f>IF(I317="","",IF(I317="TP",1.5,IF(I317="SL",-1,0)))</f>
        <v/>
      </c>
      <c r="K317" s="5" t="n"/>
    </row>
    <row r="318">
      <c r="J318">
        <f>IF(I318="","",IF(I318="TP",1.5,IF(I318="SL",-1,0)))</f>
        <v/>
      </c>
      <c r="K318" s="5" t="n"/>
    </row>
    <row r="319">
      <c r="J319">
        <f>IF(I319="","",IF(I319="TP",1.5,IF(I319="SL",-1,0)))</f>
        <v/>
      </c>
      <c r="K319" s="5" t="n"/>
    </row>
    <row r="320">
      <c r="J320">
        <f>IF(I320="","",IF(I320="TP",1.5,IF(I320="SL",-1,0)))</f>
        <v/>
      </c>
      <c r="K320" s="5" t="n"/>
    </row>
    <row r="321">
      <c r="J321">
        <f>IF(I321="","",IF(I321="TP",1.5,IF(I321="SL",-1,0)))</f>
        <v/>
      </c>
      <c r="K321" s="5" t="n"/>
    </row>
    <row r="322">
      <c r="J322">
        <f>IF(I322="","",IF(I322="TP",1.5,IF(I322="SL",-1,0)))</f>
        <v/>
      </c>
      <c r="K322" s="5" t="n"/>
    </row>
    <row r="323">
      <c r="J323">
        <f>IF(I323="","",IF(I323="TP",1.5,IF(I323="SL",-1,0)))</f>
        <v/>
      </c>
      <c r="K323" s="5" t="n"/>
    </row>
    <row r="324">
      <c r="J324">
        <f>IF(I324="","",IF(I324="TP",1.5,IF(I324="SL",-1,0)))</f>
        <v/>
      </c>
      <c r="K324" s="5" t="n"/>
    </row>
    <row r="325">
      <c r="J325">
        <f>IF(I325="","",IF(I325="TP",1.5,IF(I325="SL",-1,0)))</f>
        <v/>
      </c>
      <c r="K325" s="5" t="n"/>
    </row>
    <row r="326">
      <c r="J326">
        <f>IF(I326="","",IF(I326="TP",1.5,IF(I326="SL",-1,0)))</f>
        <v/>
      </c>
      <c r="K326" s="5" t="n"/>
    </row>
    <row r="327">
      <c r="J327">
        <f>IF(I327="","",IF(I327="TP",1.5,IF(I327="SL",-1,0)))</f>
        <v/>
      </c>
      <c r="K327" s="5" t="n"/>
    </row>
    <row r="328">
      <c r="J328">
        <f>IF(I328="","",IF(I328="TP",1.5,IF(I328="SL",-1,0)))</f>
        <v/>
      </c>
      <c r="K328" s="5" t="n"/>
    </row>
    <row r="329">
      <c r="J329">
        <f>IF(I329="","",IF(I329="TP",1.5,IF(I329="SL",-1,0)))</f>
        <v/>
      </c>
      <c r="K329" s="5" t="n"/>
    </row>
    <row r="330">
      <c r="J330">
        <f>IF(I330="","",IF(I330="TP",1.5,IF(I330="SL",-1,0)))</f>
        <v/>
      </c>
      <c r="K330" s="5" t="n"/>
    </row>
    <row r="331">
      <c r="J331">
        <f>IF(I331="","",IF(I331="TP",1.5,IF(I331="SL",-1,0)))</f>
        <v/>
      </c>
      <c r="K331" s="5" t="n"/>
    </row>
    <row r="332">
      <c r="J332">
        <f>IF(I332="","",IF(I332="TP",1.5,IF(I332="SL",-1,0)))</f>
        <v/>
      </c>
      <c r="K332" s="5" t="n"/>
    </row>
    <row r="333">
      <c r="J333">
        <f>IF(I333="","",IF(I333="TP",1.5,IF(I333="SL",-1,0)))</f>
        <v/>
      </c>
      <c r="K333" s="5" t="n"/>
    </row>
    <row r="334">
      <c r="J334">
        <f>IF(I334="","",IF(I334="TP",1.5,IF(I334="SL",-1,0)))</f>
        <v/>
      </c>
      <c r="K334" s="5" t="n"/>
    </row>
    <row r="335">
      <c r="J335">
        <f>IF(I335="","",IF(I335="TP",1.5,IF(I335="SL",-1,0)))</f>
        <v/>
      </c>
      <c r="K335" s="5" t="n"/>
    </row>
    <row r="336">
      <c r="J336">
        <f>IF(I336="","",IF(I336="TP",1.5,IF(I336="SL",-1,0)))</f>
        <v/>
      </c>
      <c r="K336" s="5" t="n"/>
    </row>
    <row r="337">
      <c r="J337">
        <f>IF(I337="","",IF(I337="TP",1.5,IF(I337="SL",-1,0)))</f>
        <v/>
      </c>
      <c r="K337" s="5" t="n"/>
    </row>
    <row r="338">
      <c r="J338">
        <f>IF(I338="","",IF(I338="TP",1.5,IF(I338="SL",-1,0)))</f>
        <v/>
      </c>
      <c r="K338" s="5" t="n"/>
    </row>
    <row r="339">
      <c r="J339">
        <f>IF(I339="","",IF(I339="TP",1.5,IF(I339="SL",-1,0)))</f>
        <v/>
      </c>
      <c r="K339" s="5" t="n"/>
    </row>
    <row r="340">
      <c r="J340">
        <f>IF(I340="","",IF(I340="TP",1.5,IF(I340="SL",-1,0)))</f>
        <v/>
      </c>
      <c r="K340" s="5" t="n"/>
    </row>
    <row r="341">
      <c r="J341">
        <f>IF(I341="","",IF(I341="TP",1.5,IF(I341="SL",-1,0)))</f>
        <v/>
      </c>
      <c r="K341" s="5" t="n"/>
    </row>
    <row r="342">
      <c r="J342">
        <f>IF(I342="","",IF(I342="TP",1.5,IF(I342="SL",-1,0)))</f>
        <v/>
      </c>
      <c r="K342" s="5" t="n"/>
    </row>
    <row r="343">
      <c r="J343">
        <f>IF(I343="","",IF(I343="TP",1.5,IF(I343="SL",-1,0)))</f>
        <v/>
      </c>
      <c r="K343" s="5" t="n"/>
    </row>
    <row r="344">
      <c r="J344">
        <f>IF(I344="","",IF(I344="TP",1.5,IF(I344="SL",-1,0)))</f>
        <v/>
      </c>
      <c r="K344" s="5" t="n"/>
    </row>
    <row r="345">
      <c r="J345">
        <f>IF(I345="","",IF(I345="TP",1.5,IF(I345="SL",-1,0)))</f>
        <v/>
      </c>
      <c r="K345" s="5" t="n"/>
    </row>
    <row r="346">
      <c r="J346">
        <f>IF(I346="","",IF(I346="TP",1.5,IF(I346="SL",-1,0)))</f>
        <v/>
      </c>
      <c r="K346" s="5" t="n"/>
    </row>
    <row r="347">
      <c r="J347">
        <f>IF(I347="","",IF(I347="TP",1.5,IF(I347="SL",-1,0)))</f>
        <v/>
      </c>
      <c r="K347" s="5" t="n"/>
    </row>
    <row r="348">
      <c r="J348">
        <f>IF(I348="","",IF(I348="TP",1.5,IF(I348="SL",-1,0)))</f>
        <v/>
      </c>
      <c r="K348" s="5" t="n"/>
    </row>
    <row r="349">
      <c r="J349">
        <f>IF(I349="","",IF(I349="TP",1.5,IF(I349="SL",-1,0)))</f>
        <v/>
      </c>
      <c r="K349" s="5" t="n"/>
    </row>
    <row r="350">
      <c r="J350">
        <f>IF(I350="","",IF(I350="TP",1.5,IF(I350="SL",-1,0)))</f>
        <v/>
      </c>
      <c r="K350" s="5" t="n"/>
    </row>
    <row r="351">
      <c r="J351">
        <f>IF(I351="","",IF(I351="TP",1.5,IF(I351="SL",-1,0)))</f>
        <v/>
      </c>
      <c r="K351" s="5" t="n"/>
    </row>
    <row r="352">
      <c r="J352">
        <f>IF(I352="","",IF(I352="TP",1.5,IF(I352="SL",-1,0)))</f>
        <v/>
      </c>
      <c r="K352" s="5" t="n"/>
    </row>
    <row r="353">
      <c r="J353">
        <f>IF(I353="","",IF(I353="TP",1.5,IF(I353="SL",-1,0)))</f>
        <v/>
      </c>
      <c r="K353" s="5" t="n"/>
    </row>
    <row r="354">
      <c r="J354">
        <f>IF(I354="","",IF(I354="TP",1.5,IF(I354="SL",-1,0)))</f>
        <v/>
      </c>
      <c r="K354" s="5" t="n"/>
    </row>
    <row r="355">
      <c r="J355">
        <f>IF(I355="","",IF(I355="TP",1.5,IF(I355="SL",-1,0)))</f>
        <v/>
      </c>
      <c r="K355" s="5" t="n"/>
    </row>
    <row r="356">
      <c r="J356">
        <f>IF(I356="","",IF(I356="TP",1.5,IF(I356="SL",-1,0)))</f>
        <v/>
      </c>
      <c r="K356" s="5" t="n"/>
    </row>
    <row r="357">
      <c r="J357">
        <f>IF(I357="","",IF(I357="TP",1.5,IF(I357="SL",-1,0)))</f>
        <v/>
      </c>
      <c r="K357" s="5" t="n"/>
    </row>
    <row r="358">
      <c r="J358">
        <f>IF(I358="","",IF(I358="TP",1.5,IF(I358="SL",-1,0)))</f>
        <v/>
      </c>
      <c r="K358" s="5" t="n"/>
    </row>
    <row r="359">
      <c r="J359">
        <f>IF(I359="","",IF(I359="TP",1.5,IF(I359="SL",-1,0)))</f>
        <v/>
      </c>
      <c r="K359" s="5" t="n"/>
    </row>
    <row r="360">
      <c r="J360">
        <f>IF(I360="","",IF(I360="TP",1.5,IF(I360="SL",-1,0)))</f>
        <v/>
      </c>
      <c r="K360" s="5" t="n"/>
    </row>
    <row r="361">
      <c r="J361">
        <f>IF(I361="","",IF(I361="TP",1.5,IF(I361="SL",-1,0)))</f>
        <v/>
      </c>
      <c r="K361" s="5" t="n"/>
    </row>
    <row r="362">
      <c r="J362">
        <f>IF(I362="","",IF(I362="TP",1.5,IF(I362="SL",-1,0)))</f>
        <v/>
      </c>
      <c r="K362" s="5" t="n"/>
    </row>
    <row r="363">
      <c r="J363">
        <f>IF(I363="","",IF(I363="TP",1.5,IF(I363="SL",-1,0)))</f>
        <v/>
      </c>
      <c r="K363" s="5" t="n"/>
    </row>
    <row r="364">
      <c r="J364">
        <f>IF(I364="","",IF(I364="TP",1.5,IF(I364="SL",-1,0)))</f>
        <v/>
      </c>
      <c r="K364" s="5" t="n"/>
    </row>
    <row r="365">
      <c r="J365">
        <f>IF(I365="","",IF(I365="TP",1.5,IF(I365="SL",-1,0)))</f>
        <v/>
      </c>
      <c r="K365" s="5" t="n"/>
    </row>
    <row r="366">
      <c r="J366">
        <f>IF(I366="","",IF(I366="TP",1.5,IF(I366="SL",-1,0)))</f>
        <v/>
      </c>
      <c r="K366" s="5" t="n"/>
    </row>
    <row r="367">
      <c r="J367">
        <f>IF(I367="","",IF(I367="TP",1.5,IF(I367="SL",-1,0)))</f>
        <v/>
      </c>
      <c r="K367" s="5" t="n"/>
    </row>
    <row r="368">
      <c r="J368">
        <f>IF(I368="","",IF(I368="TP",1.5,IF(I368="SL",-1,0)))</f>
        <v/>
      </c>
      <c r="K368" s="5" t="n"/>
    </row>
    <row r="369">
      <c r="J369">
        <f>IF(I369="","",IF(I369="TP",1.5,IF(I369="SL",-1,0)))</f>
        <v/>
      </c>
      <c r="K369" s="5" t="n"/>
    </row>
    <row r="370">
      <c r="J370">
        <f>IF(I370="","",IF(I370="TP",1.5,IF(I370="SL",-1,0)))</f>
        <v/>
      </c>
      <c r="K370" s="5" t="n"/>
    </row>
    <row r="371">
      <c r="J371">
        <f>IF(I371="","",IF(I371="TP",1.5,IF(I371="SL",-1,0)))</f>
        <v/>
      </c>
      <c r="K371" s="5" t="n"/>
    </row>
    <row r="372">
      <c r="J372">
        <f>IF(I372="","",IF(I372="TP",1.5,IF(I372="SL",-1,0)))</f>
        <v/>
      </c>
      <c r="K372" s="5" t="n"/>
    </row>
    <row r="373">
      <c r="J373">
        <f>IF(I373="","",IF(I373="TP",1.5,IF(I373="SL",-1,0)))</f>
        <v/>
      </c>
      <c r="K373" s="5" t="n"/>
    </row>
    <row r="374">
      <c r="J374">
        <f>IF(I374="","",IF(I374="TP",1.5,IF(I374="SL",-1,0)))</f>
        <v/>
      </c>
      <c r="K374" s="5" t="n"/>
    </row>
    <row r="375">
      <c r="J375">
        <f>IF(I375="","",IF(I375="TP",1.5,IF(I375="SL",-1,0)))</f>
        <v/>
      </c>
      <c r="K375" s="5" t="n"/>
    </row>
    <row r="376">
      <c r="J376">
        <f>IF(I376="","",IF(I376="TP",1.5,IF(I376="SL",-1,0)))</f>
        <v/>
      </c>
      <c r="K376" s="5" t="n"/>
    </row>
    <row r="377">
      <c r="J377">
        <f>IF(I377="","",IF(I377="TP",1.5,IF(I377="SL",-1,0)))</f>
        <v/>
      </c>
      <c r="K377" s="5" t="n"/>
    </row>
    <row r="378">
      <c r="J378">
        <f>IF(I378="","",IF(I378="TP",1.5,IF(I378="SL",-1,0)))</f>
        <v/>
      </c>
      <c r="K378" s="5" t="n"/>
    </row>
    <row r="379">
      <c r="J379">
        <f>IF(I379="","",IF(I379="TP",1.5,IF(I379="SL",-1,0)))</f>
        <v/>
      </c>
      <c r="K379" s="5" t="n"/>
    </row>
    <row r="380">
      <c r="J380">
        <f>IF(I380="","",IF(I380="TP",1.5,IF(I380="SL",-1,0)))</f>
        <v/>
      </c>
      <c r="K380" s="5" t="n"/>
    </row>
    <row r="381">
      <c r="J381">
        <f>IF(I381="","",IF(I381="TP",1.5,IF(I381="SL",-1,0)))</f>
        <v/>
      </c>
      <c r="K381" s="5" t="n"/>
    </row>
    <row r="382">
      <c r="J382">
        <f>IF(I382="","",IF(I382="TP",1.5,IF(I382="SL",-1,0)))</f>
        <v/>
      </c>
      <c r="K382" s="5" t="n"/>
    </row>
    <row r="383">
      <c r="J383">
        <f>IF(I383="","",IF(I383="TP",1.5,IF(I383="SL",-1,0)))</f>
        <v/>
      </c>
      <c r="K383" s="5" t="n"/>
    </row>
    <row r="384">
      <c r="J384">
        <f>IF(I384="","",IF(I384="TP",1.5,IF(I384="SL",-1,0)))</f>
        <v/>
      </c>
      <c r="K384" s="5" t="n"/>
    </row>
    <row r="385">
      <c r="J385">
        <f>IF(I385="","",IF(I385="TP",1.5,IF(I385="SL",-1,0)))</f>
        <v/>
      </c>
      <c r="K385" s="5" t="n"/>
    </row>
    <row r="386">
      <c r="J386">
        <f>IF(I386="","",IF(I386="TP",1.5,IF(I386="SL",-1,0)))</f>
        <v/>
      </c>
      <c r="K386" s="5" t="n"/>
    </row>
    <row r="387">
      <c r="J387">
        <f>IF(I387="","",IF(I387="TP",1.5,IF(I387="SL",-1,0)))</f>
        <v/>
      </c>
      <c r="K387" s="5" t="n"/>
    </row>
    <row r="388">
      <c r="J388">
        <f>IF(I388="","",IF(I388="TP",1.5,IF(I388="SL",-1,0)))</f>
        <v/>
      </c>
      <c r="K388" s="5" t="n"/>
    </row>
    <row r="389">
      <c r="J389">
        <f>IF(I389="","",IF(I389="TP",1.5,IF(I389="SL",-1,0)))</f>
        <v/>
      </c>
      <c r="K389" s="5" t="n"/>
    </row>
    <row r="390">
      <c r="J390">
        <f>IF(I390="","",IF(I390="TP",1.5,IF(I390="SL",-1,0)))</f>
        <v/>
      </c>
      <c r="K390" s="5" t="n"/>
    </row>
    <row r="391">
      <c r="J391">
        <f>IF(I391="","",IF(I391="TP",1.5,IF(I391="SL",-1,0)))</f>
        <v/>
      </c>
      <c r="K391" s="5" t="n"/>
    </row>
    <row r="392">
      <c r="J392">
        <f>IF(I392="","",IF(I392="TP",1.5,IF(I392="SL",-1,0)))</f>
        <v/>
      </c>
      <c r="K392" s="5" t="n"/>
    </row>
    <row r="393">
      <c r="J393">
        <f>IF(I393="","",IF(I393="TP",1.5,IF(I393="SL",-1,0)))</f>
        <v/>
      </c>
      <c r="K393" s="5" t="n"/>
    </row>
    <row r="394">
      <c r="J394">
        <f>IF(I394="","",IF(I394="TP",1.5,IF(I394="SL",-1,0)))</f>
        <v/>
      </c>
      <c r="K394" s="5" t="n"/>
    </row>
    <row r="395">
      <c r="J395">
        <f>IF(I395="","",IF(I395="TP",1.5,IF(I395="SL",-1,0)))</f>
        <v/>
      </c>
      <c r="K395" s="5" t="n"/>
    </row>
    <row r="396">
      <c r="J396">
        <f>IF(I396="","",IF(I396="TP",1.5,IF(I396="SL",-1,0)))</f>
        <v/>
      </c>
      <c r="K396" s="5" t="n"/>
    </row>
    <row r="397">
      <c r="J397">
        <f>IF(I397="","",IF(I397="TP",1.5,IF(I397="SL",-1,0)))</f>
        <v/>
      </c>
      <c r="K397" s="5" t="n"/>
    </row>
    <row r="398">
      <c r="J398">
        <f>IF(I398="","",IF(I398="TP",1.5,IF(I398="SL",-1,0)))</f>
        <v/>
      </c>
      <c r="K398" s="5" t="n"/>
    </row>
    <row r="399">
      <c r="J399">
        <f>IF(I399="","",IF(I399="TP",1.5,IF(I399="SL",-1,0)))</f>
        <v/>
      </c>
      <c r="K399" s="5" t="n"/>
    </row>
  </sheetData>
  <dataValidations count="4">
    <dataValidation sqref="B2:B400" showDropDown="0" showInputMessage="0" showErrorMessage="0" allowBlank="1" type="list">
      <formula1>"NY-AM,NY-PM,Reopen,Asia,News"</formula1>
    </dataValidation>
    <dataValidation sqref="D2:D400" showDropDown="0" showInputMessage="0" showErrorMessage="0" allowBlank="1" type="list">
      <formula1>"Long,Short"</formula1>
    </dataValidation>
    <dataValidation sqref="E2:E400" showDropDown="0" showInputMessage="0" showErrorMessage="0" allowBlank="1" type="list">
      <formula1>"Continuation,Reversion"</formula1>
    </dataValidation>
    <dataValidation sqref="I2:I400" showDropDown="0" showInputMessage="0" showErrorMessage="0" allowBlank="1" type="list">
      <formula1>"TP,SL,BE"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40" customWidth="1" min="4" max="4"/>
  </cols>
  <sheetData>
    <row r="1">
      <c r="A1" s="10" t="inlineStr">
        <is>
          <t>Date</t>
        </is>
      </c>
      <c r="B1" s="10" t="inlineStr">
        <is>
          <t>Firm</t>
        </is>
      </c>
      <c r="C1" s="10" t="inlineStr">
        <is>
          <t>Amount ($)</t>
        </is>
      </c>
      <c r="D1" s="10" t="inlineStr">
        <is>
          <t>Notes</t>
        </is>
      </c>
    </row>
    <row r="2">
      <c r="A2" s="11" t="inlineStr">
        <is>
          <t>2026-06-10</t>
        </is>
      </c>
      <c r="B2" s="11" t="inlineStr">
        <is>
          <t>Topstep</t>
        </is>
      </c>
      <c r="C2" s="12" t="n">
        <v>1500</v>
      </c>
      <c r="D2" s="11" t="inlineStr">
        <is>
          <t>first payout, 50% of 3k</t>
        </is>
      </c>
    </row>
    <row r="3">
      <c r="C3" s="5" t="n"/>
    </row>
    <row r="4">
      <c r="C4" s="5" t="n"/>
    </row>
    <row r="5">
      <c r="C5" s="5" t="n"/>
    </row>
    <row r="6">
      <c r="C6" s="5" t="n"/>
    </row>
    <row r="7">
      <c r="C7" s="5" t="n"/>
    </row>
    <row r="8">
      <c r="C8" s="5" t="n"/>
    </row>
    <row r="9">
      <c r="C9" s="5" t="n"/>
    </row>
    <row r="10">
      <c r="C10" s="5" t="n"/>
    </row>
    <row r="11">
      <c r="C11" s="5" t="n"/>
    </row>
    <row r="12">
      <c r="C12" s="5" t="n"/>
    </row>
    <row r="13">
      <c r="C13" s="5" t="n"/>
    </row>
    <row r="14">
      <c r="C14" s="5" t="n"/>
    </row>
    <row r="15">
      <c r="C15" s="5" t="n"/>
    </row>
    <row r="16">
      <c r="C16" s="5" t="n"/>
    </row>
    <row r="17">
      <c r="C17" s="5" t="n"/>
    </row>
    <row r="18">
      <c r="C18" s="5" t="n"/>
    </row>
    <row r="19">
      <c r="C19" s="5" t="n"/>
    </row>
    <row r="20">
      <c r="C20" s="5" t="n"/>
    </row>
    <row r="21">
      <c r="C21" s="5" t="n"/>
    </row>
    <row r="22">
      <c r="C22" s="5" t="n"/>
    </row>
    <row r="23">
      <c r="C23" s="5" t="n"/>
    </row>
    <row r="24">
      <c r="C24" s="5" t="n"/>
    </row>
    <row r="25">
      <c r="C25" s="5" t="n"/>
    </row>
    <row r="26">
      <c r="C26" s="5" t="n"/>
    </row>
    <row r="27">
      <c r="C27" s="5" t="n"/>
    </row>
    <row r="28">
      <c r="C28" s="5" t="n"/>
    </row>
    <row r="29">
      <c r="C29" s="5" t="n"/>
    </row>
    <row r="30">
      <c r="C30" s="5" t="n"/>
    </row>
    <row r="31">
      <c r="C31" s="5" t="n"/>
    </row>
    <row r="32">
      <c r="C32" s="5" t="n"/>
    </row>
    <row r="33">
      <c r="C33" s="5" t="n"/>
    </row>
    <row r="34">
      <c r="C34" s="5" t="n"/>
    </row>
    <row r="35">
      <c r="C35" s="5" t="n"/>
    </row>
    <row r="36">
      <c r="C36" s="5" t="n"/>
    </row>
    <row r="37">
      <c r="C37" s="5" t="n"/>
    </row>
    <row r="38">
      <c r="C38" s="5" t="n"/>
    </row>
    <row r="39">
      <c r="C39" s="5" t="n"/>
    </row>
    <row r="40">
      <c r="C40" s="5" t="n"/>
    </row>
    <row r="41">
      <c r="C41" s="5" t="n"/>
    </row>
    <row r="42">
      <c r="C42" s="5" t="n"/>
    </row>
    <row r="43">
      <c r="C43" s="5" t="n"/>
    </row>
    <row r="44">
      <c r="C44" s="5" t="n"/>
    </row>
    <row r="45">
      <c r="C45" s="5" t="n"/>
    </row>
    <row r="46">
      <c r="C46" s="5" t="n"/>
    </row>
    <row r="47">
      <c r="C47" s="5" t="n"/>
    </row>
    <row r="48">
      <c r="C48" s="5" t="n"/>
    </row>
    <row r="49">
      <c r="C49" s="5" t="n"/>
    </row>
    <row r="50">
      <c r="C50" s="5" t="n"/>
    </row>
    <row r="51">
      <c r="C51" s="5" t="n"/>
    </row>
    <row r="52">
      <c r="C52" s="5" t="n"/>
    </row>
    <row r="53">
      <c r="C53" s="5" t="n"/>
    </row>
    <row r="54">
      <c r="C54" s="5" t="n"/>
    </row>
    <row r="55">
      <c r="C55" s="5" t="n"/>
    </row>
    <row r="56">
      <c r="C56" s="5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  <row r="302">
      <c r="C302" s="5" t="n"/>
    </row>
    <row r="303">
      <c r="C303" s="5" t="n"/>
    </row>
    <row r="304">
      <c r="C304" s="5" t="n"/>
    </row>
    <row r="305">
      <c r="C305" s="5" t="n"/>
    </row>
    <row r="306">
      <c r="C306" s="5" t="n"/>
    </row>
    <row r="307">
      <c r="C307" s="5" t="n"/>
    </row>
    <row r="308">
      <c r="C308" s="5" t="n"/>
    </row>
    <row r="309">
      <c r="C309" s="5" t="n"/>
    </row>
    <row r="310">
      <c r="C310" s="5" t="n"/>
    </row>
    <row r="311">
      <c r="C311" s="5" t="n"/>
    </row>
    <row r="312">
      <c r="C312" s="5" t="n"/>
    </row>
    <row r="313">
      <c r="C313" s="5" t="n"/>
    </row>
    <row r="314">
      <c r="C314" s="5" t="n"/>
    </row>
    <row r="315">
      <c r="C315" s="5" t="n"/>
    </row>
    <row r="316">
      <c r="C316" s="5" t="n"/>
    </row>
    <row r="317">
      <c r="C317" s="5" t="n"/>
    </row>
    <row r="318">
      <c r="C318" s="5" t="n"/>
    </row>
    <row r="319">
      <c r="C319" s="5" t="n"/>
    </row>
    <row r="320">
      <c r="C320" s="5" t="n"/>
    </row>
    <row r="321">
      <c r="C321" s="5" t="n"/>
    </row>
    <row r="322">
      <c r="C322" s="5" t="n"/>
    </row>
    <row r="323">
      <c r="C323" s="5" t="n"/>
    </row>
    <row r="324">
      <c r="C324" s="5" t="n"/>
    </row>
    <row r="325">
      <c r="C325" s="5" t="n"/>
    </row>
    <row r="326">
      <c r="C326" s="5" t="n"/>
    </row>
    <row r="327">
      <c r="C327" s="5" t="n"/>
    </row>
    <row r="328">
      <c r="C328" s="5" t="n"/>
    </row>
    <row r="329">
      <c r="C329" s="5" t="n"/>
    </row>
    <row r="330">
      <c r="C330" s="5" t="n"/>
    </row>
    <row r="331">
      <c r="C331" s="5" t="n"/>
    </row>
    <row r="332">
      <c r="C332" s="5" t="n"/>
    </row>
    <row r="333">
      <c r="C333" s="5" t="n"/>
    </row>
    <row r="334">
      <c r="C334" s="5" t="n"/>
    </row>
    <row r="335">
      <c r="C335" s="5" t="n"/>
    </row>
    <row r="336">
      <c r="C336" s="5" t="n"/>
    </row>
    <row r="337">
      <c r="C337" s="5" t="n"/>
    </row>
    <row r="338">
      <c r="C338" s="5" t="n"/>
    </row>
    <row r="339">
      <c r="C339" s="5" t="n"/>
    </row>
    <row r="340">
      <c r="C340" s="5" t="n"/>
    </row>
    <row r="341">
      <c r="C341" s="5" t="n"/>
    </row>
    <row r="342">
      <c r="C342" s="5" t="n"/>
    </row>
    <row r="343">
      <c r="C343" s="5" t="n"/>
    </row>
    <row r="344">
      <c r="C344" s="5" t="n"/>
    </row>
    <row r="345">
      <c r="C345" s="5" t="n"/>
    </row>
    <row r="346">
      <c r="C346" s="5" t="n"/>
    </row>
    <row r="347">
      <c r="C347" s="5" t="n"/>
    </row>
    <row r="348">
      <c r="C348" s="5" t="n"/>
    </row>
    <row r="349">
      <c r="C349" s="5" t="n"/>
    </row>
    <row r="350">
      <c r="C350" s="5" t="n"/>
    </row>
    <row r="351">
      <c r="C351" s="5" t="n"/>
    </row>
    <row r="352">
      <c r="C352" s="5" t="n"/>
    </row>
    <row r="353">
      <c r="C353" s="5" t="n"/>
    </row>
    <row r="354">
      <c r="C354" s="5" t="n"/>
    </row>
    <row r="355">
      <c r="C355" s="5" t="n"/>
    </row>
    <row r="356">
      <c r="C356" s="5" t="n"/>
    </row>
    <row r="357">
      <c r="C357" s="5" t="n"/>
    </row>
    <row r="358">
      <c r="C358" s="5" t="n"/>
    </row>
    <row r="359">
      <c r="C359" s="5" t="n"/>
    </row>
    <row r="360">
      <c r="C360" s="5" t="n"/>
    </row>
    <row r="361">
      <c r="C361" s="5" t="n"/>
    </row>
    <row r="362">
      <c r="C362" s="5" t="n"/>
    </row>
    <row r="363">
      <c r="C363" s="5" t="n"/>
    </row>
    <row r="364">
      <c r="C364" s="5" t="n"/>
    </row>
    <row r="365">
      <c r="C365" s="5" t="n"/>
    </row>
    <row r="366">
      <c r="C366" s="5" t="n"/>
    </row>
    <row r="367">
      <c r="C367" s="5" t="n"/>
    </row>
    <row r="368">
      <c r="C368" s="5" t="n"/>
    </row>
    <row r="369">
      <c r="C369" s="5" t="n"/>
    </row>
    <row r="370">
      <c r="C370" s="5" t="n"/>
    </row>
    <row r="371">
      <c r="C371" s="5" t="n"/>
    </row>
    <row r="372">
      <c r="C372" s="5" t="n"/>
    </row>
    <row r="373">
      <c r="C373" s="5" t="n"/>
    </row>
    <row r="374">
      <c r="C374" s="5" t="n"/>
    </row>
    <row r="375">
      <c r="C375" s="5" t="n"/>
    </row>
    <row r="376">
      <c r="C376" s="5" t="n"/>
    </row>
    <row r="377">
      <c r="C377" s="5" t="n"/>
    </row>
    <row r="378">
      <c r="C378" s="5" t="n"/>
    </row>
    <row r="379">
      <c r="C379" s="5" t="n"/>
    </row>
    <row r="380">
      <c r="C380" s="5" t="n"/>
    </row>
    <row r="381">
      <c r="C381" s="5" t="n"/>
    </row>
    <row r="382">
      <c r="C382" s="5" t="n"/>
    </row>
    <row r="383">
      <c r="C383" s="5" t="n"/>
    </row>
    <row r="384">
      <c r="C384" s="5" t="n"/>
    </row>
    <row r="385">
      <c r="C385" s="5" t="n"/>
    </row>
    <row r="386">
      <c r="C386" s="5" t="n"/>
    </row>
    <row r="387">
      <c r="C387" s="5" t="n"/>
    </row>
    <row r="388">
      <c r="C388" s="5" t="n"/>
    </row>
    <row r="389">
      <c r="C389" s="5" t="n"/>
    </row>
    <row r="390">
      <c r="C390" s="5" t="n"/>
    </row>
    <row r="391">
      <c r="C391" s="5" t="n"/>
    </row>
    <row r="392">
      <c r="C392" s="5" t="n"/>
    </row>
    <row r="393">
      <c r="C393" s="5" t="n"/>
    </row>
    <row r="394">
      <c r="C394" s="5" t="n"/>
    </row>
    <row r="395">
      <c r="C395" s="5" t="n"/>
    </row>
    <row r="396">
      <c r="C396" s="5" t="n"/>
    </row>
    <row r="397">
      <c r="C397" s="5" t="n"/>
    </row>
    <row r="398">
      <c r="C398" s="5" t="n"/>
    </row>
    <row r="399">
      <c r="C39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2026-06-30T06:54:28Z</dcterms:created>
  <dcterms:modified xsi:type="dcterms:W3CDTF">2026-06-30T06:54:28Z</dcterms:modified>
</cp:coreProperties>
</file>